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90" windowWidth="10905" windowHeight="9930" tabRatio="729"/>
  </bookViews>
  <sheets>
    <sheet name="BRAND" sheetId="1" r:id="rId1"/>
    <sheet name="REPACKING" sheetId="10" r:id="rId2"/>
    <sheet name="BOM" sheetId="11" r:id="rId3"/>
    <sheet name="ORDER" sheetId="8" r:id="rId4"/>
    <sheet name="Forecast" sheetId="2" r:id="rId5"/>
    <sheet name="Sales" sheetId="3" r:id="rId6"/>
    <sheet name="Stock" sheetId="5" r:id="rId7"/>
    <sheet name="Stock Transfer" sheetId="9" r:id="rId8"/>
    <sheet name="Last Date" sheetId="7" r:id="rId9"/>
    <sheet name="Open PO" sheetId="4" r:id="rId10"/>
    <sheet name="MASTERDATA" sheetId="6" r:id="rId11"/>
  </sheets>
  <definedNames>
    <definedName name="_xlnm._FilterDatabase" localSheetId="2" hidden="1">BOM!$A$1:$P$124</definedName>
    <definedName name="_xlnm._FilterDatabase" localSheetId="10" hidden="1">MASTERDATA!$L$2:$L$104</definedName>
    <definedName name="_xlnm._FilterDatabase" localSheetId="9" hidden="1">'Open PO'!$C$1:$C$165</definedName>
    <definedName name="_xlnm._FilterDatabase" localSheetId="3" hidden="1">ORDER!$A$2:$A$104</definedName>
  </definedNames>
  <calcPr calcId="144525"/>
</workbook>
</file>

<file path=xl/calcChain.xml><?xml version="1.0" encoding="utf-8"?>
<calcChain xmlns="http://schemas.openxmlformats.org/spreadsheetml/2006/main">
  <c r="A33" i="8" l="1"/>
  <c r="B33" i="8" s="1"/>
  <c r="R33" i="8"/>
  <c r="Y33" i="8"/>
  <c r="A34" i="8"/>
  <c r="U34" i="8" s="1"/>
  <c r="R34" i="8"/>
  <c r="Y34" i="8"/>
  <c r="A35" i="8"/>
  <c r="F35" i="8" s="1"/>
  <c r="R35" i="8"/>
  <c r="Y35" i="8"/>
  <c r="A36" i="8"/>
  <c r="B36" i="8" s="1"/>
  <c r="R36" i="8"/>
  <c r="Y36" i="8"/>
  <c r="A37" i="8"/>
  <c r="C37" i="8" s="1"/>
  <c r="Q37" i="8"/>
  <c r="R37" i="8"/>
  <c r="Y37" i="8"/>
  <c r="AA37" i="8"/>
  <c r="A38" i="8"/>
  <c r="E38" i="8" s="1"/>
  <c r="R38" i="8"/>
  <c r="Y38" i="8"/>
  <c r="A39" i="8"/>
  <c r="F39" i="8" s="1"/>
  <c r="R39" i="8"/>
  <c r="Y39" i="8"/>
  <c r="A40" i="8"/>
  <c r="B40" i="8" s="1"/>
  <c r="R40" i="8"/>
  <c r="Y40" i="8"/>
  <c r="AB40" i="8"/>
  <c r="A41" i="8"/>
  <c r="B41" i="8" s="1"/>
  <c r="R41" i="8"/>
  <c r="Y41" i="8"/>
  <c r="A42" i="8"/>
  <c r="U42" i="8" s="1"/>
  <c r="R42" i="8"/>
  <c r="Y42" i="8"/>
  <c r="A43" i="8"/>
  <c r="P43" i="8" s="1"/>
  <c r="R43" i="8"/>
  <c r="Y43" i="8"/>
  <c r="A44" i="8"/>
  <c r="B44" i="8" s="1"/>
  <c r="R44" i="8"/>
  <c r="Y44" i="8"/>
  <c r="A45" i="8"/>
  <c r="B45" i="8" s="1"/>
  <c r="R45" i="8"/>
  <c r="U45" i="8"/>
  <c r="Y45" i="8"/>
  <c r="A46" i="8"/>
  <c r="U46" i="8" s="1"/>
  <c r="R46" i="8"/>
  <c r="Y46" i="8"/>
  <c r="A47" i="8"/>
  <c r="R47" i="8"/>
  <c r="Y47" i="8"/>
  <c r="A48" i="8"/>
  <c r="C48" i="8" s="1"/>
  <c r="R48" i="8"/>
  <c r="Y48" i="8"/>
  <c r="A49" i="8"/>
  <c r="E49" i="8" s="1"/>
  <c r="F49" i="8"/>
  <c r="Q49" i="8"/>
  <c r="R49" i="8"/>
  <c r="Y49" i="8"/>
  <c r="Z49" i="8"/>
  <c r="A50" i="8"/>
  <c r="C50" i="8" s="1"/>
  <c r="R50" i="8"/>
  <c r="Y50" i="8"/>
  <c r="A51" i="8"/>
  <c r="R51" i="8"/>
  <c r="Y51" i="8"/>
  <c r="A52" i="8"/>
  <c r="R52" i="8"/>
  <c r="Y52" i="8"/>
  <c r="A53" i="8"/>
  <c r="H53" i="8" s="1"/>
  <c r="Q53" i="8"/>
  <c r="R53" i="8"/>
  <c r="Y53" i="8"/>
  <c r="AA53" i="8"/>
  <c r="A54" i="8"/>
  <c r="C54" i="8" s="1"/>
  <c r="R54" i="8"/>
  <c r="Y54" i="8"/>
  <c r="A55" i="8"/>
  <c r="B55" i="8" s="1"/>
  <c r="C55" i="8"/>
  <c r="E55" i="8"/>
  <c r="O55" i="8"/>
  <c r="P55" i="8"/>
  <c r="Q55" i="8"/>
  <c r="R55" i="8"/>
  <c r="U55" i="8"/>
  <c r="Y55" i="8"/>
  <c r="Z55" i="8"/>
  <c r="A56" i="8"/>
  <c r="B56" i="8" s="1"/>
  <c r="R56" i="8"/>
  <c r="Y56" i="8"/>
  <c r="A57" i="8"/>
  <c r="B57" i="8" s="1"/>
  <c r="R57" i="8"/>
  <c r="Y57" i="8"/>
  <c r="A58" i="8"/>
  <c r="F58" i="8" s="1"/>
  <c r="R58" i="8"/>
  <c r="Y58" i="8"/>
  <c r="A59" i="8"/>
  <c r="B59" i="8" s="1"/>
  <c r="R59" i="8"/>
  <c r="Y59" i="8"/>
  <c r="A60" i="8"/>
  <c r="Z60" i="8" s="1"/>
  <c r="R60" i="8"/>
  <c r="Y60" i="8"/>
  <c r="A61" i="8"/>
  <c r="F61" i="8" s="1"/>
  <c r="R61" i="8"/>
  <c r="Y61" i="8"/>
  <c r="A62" i="8"/>
  <c r="B62" i="8" s="1"/>
  <c r="R62" i="8"/>
  <c r="Y62" i="8"/>
  <c r="A63" i="8"/>
  <c r="C63" i="8" s="1"/>
  <c r="R63" i="8"/>
  <c r="Y63" i="8"/>
  <c r="A64" i="8"/>
  <c r="E64" i="8" s="1"/>
  <c r="R64" i="8"/>
  <c r="Y64" i="8"/>
  <c r="A65" i="8"/>
  <c r="E65" i="8" s="1"/>
  <c r="Q65" i="8"/>
  <c r="R65" i="8"/>
  <c r="Y65" i="8"/>
  <c r="A66" i="8"/>
  <c r="U66" i="8" s="1"/>
  <c r="R66" i="8"/>
  <c r="Y66" i="8"/>
  <c r="A67" i="8"/>
  <c r="B67" i="8" s="1"/>
  <c r="R67" i="8"/>
  <c r="Y67" i="8"/>
  <c r="A68" i="8"/>
  <c r="B68" i="8" s="1"/>
  <c r="C68" i="8"/>
  <c r="O68" i="8"/>
  <c r="P68" i="8"/>
  <c r="R68" i="8"/>
  <c r="U68" i="8"/>
  <c r="Y68" i="8"/>
  <c r="A69" i="8"/>
  <c r="E69" i="8" s="1"/>
  <c r="R69" i="8"/>
  <c r="Y69" i="8"/>
  <c r="Z69" i="8"/>
  <c r="A70" i="8"/>
  <c r="U70" i="8" s="1"/>
  <c r="R70" i="8"/>
  <c r="Y70" i="8"/>
  <c r="A71" i="8"/>
  <c r="Z71" i="8" s="1"/>
  <c r="R71" i="8"/>
  <c r="Y71" i="8"/>
  <c r="A72" i="8"/>
  <c r="B72" i="8" s="1"/>
  <c r="C72" i="8"/>
  <c r="R72" i="8"/>
  <c r="U72" i="8"/>
  <c r="Y72" i="8"/>
  <c r="A73" i="8"/>
  <c r="B73" i="8" s="1"/>
  <c r="R73" i="8"/>
  <c r="Y73" i="8"/>
  <c r="A74" i="8"/>
  <c r="U74" i="8" s="1"/>
  <c r="R74" i="8"/>
  <c r="Y74" i="8"/>
  <c r="A75" i="8"/>
  <c r="U75" i="8" s="1"/>
  <c r="R75" i="8"/>
  <c r="Y75" i="8"/>
  <c r="A76" i="8"/>
  <c r="E76" i="8" s="1"/>
  <c r="R76" i="8"/>
  <c r="Y76" i="8"/>
  <c r="A77" i="8"/>
  <c r="C77" i="8" s="1"/>
  <c r="R77" i="8"/>
  <c r="Y77" i="8"/>
  <c r="AA77" i="8"/>
  <c r="A78" i="8"/>
  <c r="C78" i="8" s="1"/>
  <c r="H78" i="8"/>
  <c r="O78" i="8"/>
  <c r="R78" i="8"/>
  <c r="U78" i="8"/>
  <c r="Y78" i="8"/>
  <c r="A79" i="8"/>
  <c r="P79" i="8" s="1"/>
  <c r="R79" i="8"/>
  <c r="Y79" i="8"/>
  <c r="A80" i="8"/>
  <c r="U80" i="8" s="1"/>
  <c r="R80" i="8"/>
  <c r="Y80" i="8"/>
  <c r="A81" i="8"/>
  <c r="P81" i="8" s="1"/>
  <c r="R81" i="8"/>
  <c r="Y81" i="8"/>
  <c r="A82" i="8"/>
  <c r="O82" i="8" s="1"/>
  <c r="R82" i="8"/>
  <c r="Y82" i="8"/>
  <c r="A83" i="8"/>
  <c r="R83" i="8"/>
  <c r="Y83" i="8"/>
  <c r="A84" i="8"/>
  <c r="U84" i="8" s="1"/>
  <c r="R84" i="8"/>
  <c r="Y84" i="8"/>
  <c r="A85" i="8"/>
  <c r="O85" i="8" s="1"/>
  <c r="R85" i="8"/>
  <c r="Y85" i="8"/>
  <c r="A86" i="8"/>
  <c r="E86" i="8" s="1"/>
  <c r="H86" i="8"/>
  <c r="R86" i="8"/>
  <c r="Y86" i="8"/>
  <c r="AB86" i="8"/>
  <c r="A87" i="8"/>
  <c r="B87" i="8" s="1"/>
  <c r="R87" i="8"/>
  <c r="Y87" i="8"/>
  <c r="A88" i="8"/>
  <c r="H88" i="8" s="1"/>
  <c r="R88" i="8"/>
  <c r="Y88" i="8"/>
  <c r="A89" i="8"/>
  <c r="U89" i="8" s="1"/>
  <c r="R89" i="8"/>
  <c r="Y89" i="8"/>
  <c r="AB89" i="8"/>
  <c r="A90" i="8"/>
  <c r="E90" i="8" s="1"/>
  <c r="R90" i="8"/>
  <c r="Y90" i="8"/>
  <c r="A91" i="8"/>
  <c r="O91" i="8" s="1"/>
  <c r="R91" i="8"/>
  <c r="Y91" i="8"/>
  <c r="A92" i="8"/>
  <c r="H92" i="8" s="1"/>
  <c r="R92" i="8"/>
  <c r="Y92" i="8"/>
  <c r="A93" i="8"/>
  <c r="E93" i="8" s="1"/>
  <c r="R93" i="8"/>
  <c r="Y93" i="8"/>
  <c r="A94" i="8"/>
  <c r="E94" i="8" s="1"/>
  <c r="H94" i="8"/>
  <c r="O94" i="8"/>
  <c r="R94" i="8"/>
  <c r="Y94" i="8"/>
  <c r="Z94" i="8"/>
  <c r="AB94" i="8"/>
  <c r="A95" i="8"/>
  <c r="B95" i="8" s="1"/>
  <c r="R95" i="8"/>
  <c r="Y95" i="8"/>
  <c r="A96" i="8"/>
  <c r="C96" i="8" s="1"/>
  <c r="R96" i="8"/>
  <c r="Y96" i="8"/>
  <c r="A97" i="8"/>
  <c r="B97" i="8" s="1"/>
  <c r="R97" i="8"/>
  <c r="V97" i="8" s="1"/>
  <c r="Y97" i="8"/>
  <c r="A98" i="8"/>
  <c r="H98" i="8" s="1"/>
  <c r="R98" i="8"/>
  <c r="Y98" i="8"/>
  <c r="A99" i="8"/>
  <c r="B99" i="8" s="1"/>
  <c r="R99" i="8"/>
  <c r="Y99" i="8"/>
  <c r="A100" i="8"/>
  <c r="C100" i="8" s="1"/>
  <c r="R100" i="8"/>
  <c r="Y100" i="8"/>
  <c r="A101" i="8"/>
  <c r="B101" i="8" s="1"/>
  <c r="R101" i="8"/>
  <c r="Y101" i="8"/>
  <c r="A102" i="8"/>
  <c r="H102" i="8" s="1"/>
  <c r="R102" i="8"/>
  <c r="Y102" i="8"/>
  <c r="A103" i="8"/>
  <c r="B103" i="8" s="1"/>
  <c r="F103" i="8"/>
  <c r="Q103" i="8"/>
  <c r="R103" i="8"/>
  <c r="Y103" i="8"/>
  <c r="A104" i="8"/>
  <c r="C104" i="8" s="1"/>
  <c r="O104" i="8"/>
  <c r="R104" i="8"/>
  <c r="Y104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" i="8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AB78" i="8" l="1"/>
  <c r="E78" i="8"/>
  <c r="Z65" i="8"/>
  <c r="F65" i="8"/>
  <c r="U59" i="8"/>
  <c r="Z58" i="8"/>
  <c r="Q36" i="8"/>
  <c r="O99" i="8"/>
  <c r="O89" i="8"/>
  <c r="Q82" i="8"/>
  <c r="Z78" i="8"/>
  <c r="Q78" i="8"/>
  <c r="Q76" i="8"/>
  <c r="V57" i="8"/>
  <c r="P40" i="8"/>
  <c r="F36" i="8"/>
  <c r="F62" i="8"/>
  <c r="O61" i="8"/>
  <c r="O59" i="8"/>
  <c r="E57" i="8"/>
  <c r="O56" i="8"/>
  <c r="Z98" i="8"/>
  <c r="U96" i="8"/>
  <c r="Z76" i="8"/>
  <c r="F76" i="8"/>
  <c r="P73" i="8"/>
  <c r="V63" i="8"/>
  <c r="H58" i="8"/>
  <c r="V52" i="8"/>
  <c r="AB50" i="8"/>
  <c r="Z37" i="8"/>
  <c r="H37" i="8"/>
  <c r="Z36" i="8"/>
  <c r="P36" i="8"/>
  <c r="O33" i="8"/>
  <c r="Q88" i="8"/>
  <c r="O73" i="8"/>
  <c r="Q63" i="8"/>
  <c r="U62" i="8"/>
  <c r="U41" i="8"/>
  <c r="F37" i="8"/>
  <c r="B98" i="8"/>
  <c r="E96" i="8"/>
  <c r="F88" i="8"/>
  <c r="P87" i="8"/>
  <c r="U85" i="8"/>
  <c r="Q77" i="8"/>
  <c r="Z75" i="8"/>
  <c r="U73" i="8"/>
  <c r="C73" i="8"/>
  <c r="F69" i="8"/>
  <c r="AA63" i="8"/>
  <c r="B63" i="8"/>
  <c r="AB55" i="8"/>
  <c r="F55" i="8"/>
  <c r="V37" i="8"/>
  <c r="B37" i="8"/>
  <c r="E36" i="8"/>
  <c r="U99" i="8"/>
  <c r="AB96" i="8"/>
  <c r="O96" i="8"/>
  <c r="AB95" i="8"/>
  <c r="V91" i="8"/>
  <c r="H81" i="8"/>
  <c r="U79" i="8"/>
  <c r="F77" i="8"/>
  <c r="P72" i="8"/>
  <c r="AB68" i="8"/>
  <c r="F68" i="8"/>
  <c r="AA67" i="8"/>
  <c r="AB65" i="8"/>
  <c r="U65" i="8"/>
  <c r="O65" i="8"/>
  <c r="C65" i="8"/>
  <c r="Z63" i="8"/>
  <c r="H63" i="8"/>
  <c r="Z62" i="8"/>
  <c r="P62" i="8"/>
  <c r="AA61" i="8"/>
  <c r="V61" i="8"/>
  <c r="E61" i="8"/>
  <c r="Z59" i="8"/>
  <c r="Q59" i="8"/>
  <c r="E59" i="8"/>
  <c r="O54" i="8"/>
  <c r="Q48" i="8"/>
  <c r="O45" i="8"/>
  <c r="O41" i="8"/>
  <c r="V40" i="8"/>
  <c r="O40" i="8"/>
  <c r="U38" i="8"/>
  <c r="AB33" i="8"/>
  <c r="H33" i="8"/>
  <c r="H96" i="8"/>
  <c r="AA95" i="8"/>
  <c r="P95" i="8"/>
  <c r="AB92" i="8"/>
  <c r="B92" i="8"/>
  <c r="P91" i="8"/>
  <c r="V81" i="8"/>
  <c r="B81" i="8"/>
  <c r="H80" i="8"/>
  <c r="V77" i="8"/>
  <c r="B77" i="8"/>
  <c r="AA75" i="8"/>
  <c r="B75" i="8"/>
  <c r="O72" i="8"/>
  <c r="Q69" i="8"/>
  <c r="Z68" i="8"/>
  <c r="Q68" i="8"/>
  <c r="E68" i="8"/>
  <c r="AA65" i="8"/>
  <c r="V65" i="8"/>
  <c r="H65" i="8"/>
  <c r="B65" i="8"/>
  <c r="F63" i="8"/>
  <c r="H62" i="8"/>
  <c r="Z61" i="8"/>
  <c r="P61" i="8"/>
  <c r="B61" i="8"/>
  <c r="P59" i="8"/>
  <c r="C59" i="8"/>
  <c r="U57" i="8"/>
  <c r="Z54" i="8"/>
  <c r="H54" i="8"/>
  <c r="H50" i="8"/>
  <c r="AA48" i="8"/>
  <c r="P48" i="8"/>
  <c r="O44" i="8"/>
  <c r="U40" i="8"/>
  <c r="C40" i="8"/>
  <c r="Z38" i="8"/>
  <c r="O38" i="8"/>
  <c r="U95" i="8"/>
  <c r="U92" i="8"/>
  <c r="Z77" i="8"/>
  <c r="H77" i="8"/>
  <c r="P65" i="8"/>
  <c r="AB64" i="8"/>
  <c r="U61" i="8"/>
  <c r="AB59" i="8"/>
  <c r="F59" i="8"/>
  <c r="U44" i="8"/>
  <c r="O102" i="8"/>
  <c r="H100" i="8"/>
  <c r="AA99" i="8"/>
  <c r="Q99" i="8"/>
  <c r="E99" i="8"/>
  <c r="O97" i="8"/>
  <c r="Z96" i="8"/>
  <c r="Q96" i="8"/>
  <c r="O90" i="8"/>
  <c r="O88" i="8"/>
  <c r="AA87" i="8"/>
  <c r="O87" i="8"/>
  <c r="AB85" i="8"/>
  <c r="Z82" i="8"/>
  <c r="C82" i="8"/>
  <c r="F79" i="8"/>
  <c r="P77" i="8"/>
  <c r="E77" i="8"/>
  <c r="AB76" i="8"/>
  <c r="U76" i="8"/>
  <c r="O76" i="8"/>
  <c r="C76" i="8"/>
  <c r="AB73" i="8"/>
  <c r="F73" i="8"/>
  <c r="AB72" i="8"/>
  <c r="V72" i="8"/>
  <c r="F72" i="8"/>
  <c r="AB69" i="8"/>
  <c r="U69" i="8"/>
  <c r="O69" i="8"/>
  <c r="C69" i="8"/>
  <c r="AA68" i="8"/>
  <c r="V68" i="8"/>
  <c r="H68" i="8"/>
  <c r="P63" i="8"/>
  <c r="E63" i="8"/>
  <c r="AA62" i="8"/>
  <c r="C62" i="8"/>
  <c r="U58" i="8"/>
  <c r="AA57" i="8"/>
  <c r="O57" i="8"/>
  <c r="AB56" i="8"/>
  <c r="E56" i="8"/>
  <c r="AA55" i="8"/>
  <c r="V55" i="8"/>
  <c r="H55" i="8"/>
  <c r="V54" i="8"/>
  <c r="F53" i="8"/>
  <c r="AB49" i="8"/>
  <c r="U49" i="8"/>
  <c r="O49" i="8"/>
  <c r="C49" i="8"/>
  <c r="Z45" i="8"/>
  <c r="Q45" i="8"/>
  <c r="E45" i="8"/>
  <c r="AA44" i="8"/>
  <c r="Q44" i="8"/>
  <c r="E44" i="8"/>
  <c r="Z41" i="8"/>
  <c r="Q41" i="8"/>
  <c r="E41" i="8"/>
  <c r="AA40" i="8"/>
  <c r="F40" i="8"/>
  <c r="P37" i="8"/>
  <c r="E37" i="8"/>
  <c r="AB36" i="8"/>
  <c r="U36" i="8"/>
  <c r="O36" i="8"/>
  <c r="C36" i="8"/>
  <c r="U33" i="8"/>
  <c r="E33" i="8"/>
  <c r="Z102" i="8"/>
  <c r="B102" i="8"/>
  <c r="P101" i="8"/>
  <c r="U100" i="8"/>
  <c r="E100" i="8"/>
  <c r="P99" i="8"/>
  <c r="C99" i="8"/>
  <c r="U97" i="8"/>
  <c r="F97" i="8"/>
  <c r="AB93" i="8"/>
  <c r="O93" i="8"/>
  <c r="AB90" i="8"/>
  <c r="H90" i="8"/>
  <c r="O86" i="8"/>
  <c r="AB77" i="8"/>
  <c r="U77" i="8"/>
  <c r="O77" i="8"/>
  <c r="AA76" i="8"/>
  <c r="V76" i="8"/>
  <c r="H76" i="8"/>
  <c r="B76" i="8"/>
  <c r="Z73" i="8"/>
  <c r="Q73" i="8"/>
  <c r="E73" i="8"/>
  <c r="AA72" i="8"/>
  <c r="Q72" i="8"/>
  <c r="E72" i="8"/>
  <c r="AA69" i="8"/>
  <c r="V69" i="8"/>
  <c r="H69" i="8"/>
  <c r="B69" i="8"/>
  <c r="AB63" i="8"/>
  <c r="U63" i="8"/>
  <c r="O63" i="8"/>
  <c r="AA58" i="8"/>
  <c r="F57" i="8"/>
  <c r="Z56" i="8"/>
  <c r="Q56" i="8"/>
  <c r="C56" i="8"/>
  <c r="V53" i="8"/>
  <c r="B53" i="8"/>
  <c r="O50" i="8"/>
  <c r="AA49" i="8"/>
  <c r="V49" i="8"/>
  <c r="H49" i="8"/>
  <c r="B49" i="8"/>
  <c r="P45" i="8"/>
  <c r="C45" i="8"/>
  <c r="P44" i="8"/>
  <c r="C44" i="8"/>
  <c r="P41" i="8"/>
  <c r="C41" i="8"/>
  <c r="Q40" i="8"/>
  <c r="E40" i="8"/>
  <c r="AB37" i="8"/>
  <c r="U37" i="8"/>
  <c r="O37" i="8"/>
  <c r="AA36" i="8"/>
  <c r="V36" i="8"/>
  <c r="H36" i="8"/>
  <c r="AB100" i="8"/>
  <c r="O100" i="8"/>
  <c r="AB99" i="8"/>
  <c r="V99" i="8"/>
  <c r="F99" i="8"/>
  <c r="P97" i="8"/>
  <c r="U93" i="8"/>
  <c r="P76" i="8"/>
  <c r="P69" i="8"/>
  <c r="U56" i="8"/>
  <c r="H56" i="8"/>
  <c r="Z53" i="8"/>
  <c r="P49" i="8"/>
  <c r="AB45" i="8"/>
  <c r="F45" i="8"/>
  <c r="AB44" i="8"/>
  <c r="V44" i="8"/>
  <c r="F44" i="8"/>
  <c r="Z43" i="8"/>
  <c r="AB41" i="8"/>
  <c r="F41" i="8"/>
  <c r="B89" i="8"/>
  <c r="H89" i="8"/>
  <c r="Z89" i="8"/>
  <c r="B85" i="8"/>
  <c r="H85" i="8"/>
  <c r="Z85" i="8"/>
  <c r="O83" i="8"/>
  <c r="V83" i="8"/>
  <c r="B52" i="8"/>
  <c r="C52" i="8"/>
  <c r="Q52" i="8"/>
  <c r="AA52" i="8"/>
  <c r="E52" i="8"/>
  <c r="AB52" i="8"/>
  <c r="AA93" i="8"/>
  <c r="F93" i="8"/>
  <c r="C81" i="8"/>
  <c r="O81" i="8"/>
  <c r="U81" i="8"/>
  <c r="AA81" i="8"/>
  <c r="Z39" i="8"/>
  <c r="AB104" i="8"/>
  <c r="E104" i="8"/>
  <c r="AA103" i="8"/>
  <c r="U103" i="8"/>
  <c r="O103" i="8"/>
  <c r="C103" i="8"/>
  <c r="U101" i="8"/>
  <c r="F101" i="8"/>
  <c r="Z100" i="8"/>
  <c r="Q100" i="8"/>
  <c r="Z99" i="8"/>
  <c r="H99" i="8"/>
  <c r="AA97" i="8"/>
  <c r="U94" i="8"/>
  <c r="Q93" i="8"/>
  <c r="Z92" i="8"/>
  <c r="Q92" i="8"/>
  <c r="F91" i="8"/>
  <c r="U90" i="8"/>
  <c r="Q89" i="8"/>
  <c r="E89" i="8"/>
  <c r="V87" i="8"/>
  <c r="U86" i="8"/>
  <c r="Q85" i="8"/>
  <c r="E85" i="8"/>
  <c r="F83" i="8"/>
  <c r="AB81" i="8"/>
  <c r="F81" i="8"/>
  <c r="C53" i="8"/>
  <c r="O53" i="8"/>
  <c r="U53" i="8"/>
  <c r="AB53" i="8"/>
  <c r="E53" i="8"/>
  <c r="P53" i="8"/>
  <c r="P52" i="8"/>
  <c r="F43" i="8"/>
  <c r="B93" i="8"/>
  <c r="H93" i="8"/>
  <c r="Z93" i="8"/>
  <c r="U104" i="8"/>
  <c r="H104" i="8"/>
  <c r="AB103" i="8"/>
  <c r="V103" i="8"/>
  <c r="P103" i="8"/>
  <c r="E103" i="8"/>
  <c r="V101" i="8"/>
  <c r="O101" i="8"/>
  <c r="AA89" i="8"/>
  <c r="F89" i="8"/>
  <c r="AA85" i="8"/>
  <c r="F85" i="8"/>
  <c r="AA83" i="8"/>
  <c r="P83" i="8"/>
  <c r="E82" i="8"/>
  <c r="AB82" i="8"/>
  <c r="B79" i="8"/>
  <c r="AA79" i="8"/>
  <c r="Z104" i="8"/>
  <c r="Q104" i="8"/>
  <c r="Z103" i="8"/>
  <c r="H103" i="8"/>
  <c r="AA101" i="8"/>
  <c r="O98" i="8"/>
  <c r="C94" i="8"/>
  <c r="Q94" i="8"/>
  <c r="V93" i="8"/>
  <c r="P93" i="8"/>
  <c r="C93" i="8"/>
  <c r="E92" i="8"/>
  <c r="C90" i="8"/>
  <c r="Q90" i="8"/>
  <c r="Z90" i="8"/>
  <c r="V89" i="8"/>
  <c r="P89" i="8"/>
  <c r="C89" i="8"/>
  <c r="F87" i="8"/>
  <c r="U87" i="8"/>
  <c r="C86" i="8"/>
  <c r="Q86" i="8"/>
  <c r="Z86" i="8"/>
  <c r="V85" i="8"/>
  <c r="P85" i="8"/>
  <c r="C85" i="8"/>
  <c r="U83" i="8"/>
  <c r="B83" i="8"/>
  <c r="U82" i="8"/>
  <c r="H82" i="8"/>
  <c r="Z81" i="8"/>
  <c r="Q81" i="8"/>
  <c r="E81" i="8"/>
  <c r="V79" i="8"/>
  <c r="O79" i="8"/>
  <c r="E60" i="8"/>
  <c r="AB60" i="8"/>
  <c r="B58" i="8"/>
  <c r="O58" i="8"/>
  <c r="V58" i="8"/>
  <c r="C58" i="8"/>
  <c r="P58" i="8"/>
  <c r="F52" i="8"/>
  <c r="B48" i="8"/>
  <c r="E48" i="8"/>
  <c r="AB48" i="8"/>
  <c r="F48" i="8"/>
  <c r="V48" i="8"/>
  <c r="E42" i="8"/>
  <c r="O42" i="8"/>
  <c r="Z42" i="8"/>
  <c r="E34" i="8"/>
  <c r="O34" i="8"/>
  <c r="Z34" i="8"/>
  <c r="AA73" i="8"/>
  <c r="V73" i="8"/>
  <c r="H73" i="8"/>
  <c r="Z72" i="8"/>
  <c r="H72" i="8"/>
  <c r="P64" i="8"/>
  <c r="V62" i="8"/>
  <c r="O62" i="8"/>
  <c r="AA59" i="8"/>
  <c r="V59" i="8"/>
  <c r="H59" i="8"/>
  <c r="Z57" i="8"/>
  <c r="P57" i="8"/>
  <c r="U50" i="8"/>
  <c r="AA45" i="8"/>
  <c r="V45" i="8"/>
  <c r="H45" i="8"/>
  <c r="Z44" i="8"/>
  <c r="H44" i="8"/>
  <c r="AA41" i="8"/>
  <c r="V41" i="8"/>
  <c r="H41" i="8"/>
  <c r="Z40" i="8"/>
  <c r="H40" i="8"/>
  <c r="Z33" i="8"/>
  <c r="Q33" i="8"/>
  <c r="C33" i="8"/>
  <c r="C84" i="8"/>
  <c r="P84" i="8"/>
  <c r="V84" i="8"/>
  <c r="AA84" i="8"/>
  <c r="E84" i="8"/>
  <c r="Q84" i="8"/>
  <c r="AB84" i="8"/>
  <c r="B84" i="8"/>
  <c r="O84" i="8"/>
  <c r="Z84" i="8"/>
  <c r="F84" i="8"/>
  <c r="H84" i="8"/>
  <c r="C71" i="8"/>
  <c r="H71" i="8"/>
  <c r="Q71" i="8"/>
  <c r="AB71" i="8"/>
  <c r="E71" i="8"/>
  <c r="O71" i="8"/>
  <c r="V71" i="8"/>
  <c r="F71" i="8"/>
  <c r="P71" i="8"/>
  <c r="B71" i="8"/>
  <c r="U71" i="8"/>
  <c r="AA71" i="8"/>
  <c r="C80" i="8"/>
  <c r="P80" i="8"/>
  <c r="V80" i="8"/>
  <c r="AA80" i="8"/>
  <c r="E80" i="8"/>
  <c r="Q80" i="8"/>
  <c r="AB80" i="8"/>
  <c r="B80" i="8"/>
  <c r="O80" i="8"/>
  <c r="Z80" i="8"/>
  <c r="F80" i="8"/>
  <c r="C67" i="8"/>
  <c r="H67" i="8"/>
  <c r="Q67" i="8"/>
  <c r="AB67" i="8"/>
  <c r="E67" i="8"/>
  <c r="O67" i="8"/>
  <c r="V67" i="8"/>
  <c r="F67" i="8"/>
  <c r="P67" i="8"/>
  <c r="Z67" i="8"/>
  <c r="U102" i="8"/>
  <c r="U98" i="8"/>
  <c r="U67" i="8"/>
  <c r="C47" i="8"/>
  <c r="H47" i="8"/>
  <c r="Q47" i="8"/>
  <c r="AB47" i="8"/>
  <c r="B47" i="8"/>
  <c r="O47" i="8"/>
  <c r="V47" i="8"/>
  <c r="P47" i="8"/>
  <c r="F47" i="8"/>
  <c r="U47" i="8"/>
  <c r="E47" i="8"/>
  <c r="Z47" i="8"/>
  <c r="AA47" i="8"/>
  <c r="C102" i="8"/>
  <c r="P102" i="8"/>
  <c r="V102" i="8"/>
  <c r="AA102" i="8"/>
  <c r="E102" i="8"/>
  <c r="Q102" i="8"/>
  <c r="AB102" i="8"/>
  <c r="C98" i="8"/>
  <c r="P98" i="8"/>
  <c r="V98" i="8"/>
  <c r="AA98" i="8"/>
  <c r="E98" i="8"/>
  <c r="Q98" i="8"/>
  <c r="AB98" i="8"/>
  <c r="B74" i="8"/>
  <c r="F74" i="8"/>
  <c r="P74" i="8"/>
  <c r="V74" i="8"/>
  <c r="AA74" i="8"/>
  <c r="C74" i="8"/>
  <c r="H74" i="8"/>
  <c r="Q74" i="8"/>
  <c r="AB74" i="8"/>
  <c r="E74" i="8"/>
  <c r="O74" i="8"/>
  <c r="Z74" i="8"/>
  <c r="F102" i="8"/>
  <c r="F98" i="8"/>
  <c r="C91" i="8"/>
  <c r="H91" i="8"/>
  <c r="Q91" i="8"/>
  <c r="AB91" i="8"/>
  <c r="E91" i="8"/>
  <c r="Z91" i="8"/>
  <c r="B91" i="8"/>
  <c r="AA91" i="8"/>
  <c r="U91" i="8"/>
  <c r="C88" i="8"/>
  <c r="P88" i="8"/>
  <c r="V88" i="8"/>
  <c r="AA88" i="8"/>
  <c r="B88" i="8"/>
  <c r="Z88" i="8"/>
  <c r="E88" i="8"/>
  <c r="U88" i="8"/>
  <c r="AB88" i="8"/>
  <c r="C101" i="8"/>
  <c r="H101" i="8"/>
  <c r="Q101" i="8"/>
  <c r="AB101" i="8"/>
  <c r="C97" i="8"/>
  <c r="H97" i="8"/>
  <c r="Q97" i="8"/>
  <c r="AB97" i="8"/>
  <c r="C95" i="8"/>
  <c r="H95" i="8"/>
  <c r="Q95" i="8"/>
  <c r="E95" i="8"/>
  <c r="Z95" i="8"/>
  <c r="C92" i="8"/>
  <c r="P92" i="8"/>
  <c r="V92" i="8"/>
  <c r="AA92" i="8"/>
  <c r="B70" i="8"/>
  <c r="F70" i="8"/>
  <c r="P70" i="8"/>
  <c r="V70" i="8"/>
  <c r="AA70" i="8"/>
  <c r="C70" i="8"/>
  <c r="H70" i="8"/>
  <c r="Q70" i="8"/>
  <c r="AB70" i="8"/>
  <c r="E70" i="8"/>
  <c r="O70" i="8"/>
  <c r="Z70" i="8"/>
  <c r="V64" i="8"/>
  <c r="B60" i="8"/>
  <c r="F60" i="8"/>
  <c r="P60" i="8"/>
  <c r="V60" i="8"/>
  <c r="AA60" i="8"/>
  <c r="C60" i="8"/>
  <c r="O60" i="8"/>
  <c r="Q60" i="8"/>
  <c r="H60" i="8"/>
  <c r="U60" i="8"/>
  <c r="C51" i="8"/>
  <c r="H51" i="8"/>
  <c r="Q51" i="8"/>
  <c r="AB51" i="8"/>
  <c r="B51" i="8"/>
  <c r="O51" i="8"/>
  <c r="V51" i="8"/>
  <c r="P51" i="8"/>
  <c r="E51" i="8"/>
  <c r="AA51" i="8"/>
  <c r="F51" i="8"/>
  <c r="U51" i="8"/>
  <c r="Z51" i="8"/>
  <c r="B104" i="8"/>
  <c r="F104" i="8"/>
  <c r="P104" i="8"/>
  <c r="V104" i="8"/>
  <c r="AA104" i="8"/>
  <c r="Z101" i="8"/>
  <c r="E101" i="8"/>
  <c r="B100" i="8"/>
  <c r="F100" i="8"/>
  <c r="P100" i="8"/>
  <c r="V100" i="8"/>
  <c r="AA100" i="8"/>
  <c r="Z97" i="8"/>
  <c r="E97" i="8"/>
  <c r="B96" i="8"/>
  <c r="F96" i="8"/>
  <c r="P96" i="8"/>
  <c r="V96" i="8"/>
  <c r="AA96" i="8"/>
  <c r="V95" i="8"/>
  <c r="O95" i="8"/>
  <c r="F95" i="8"/>
  <c r="O92" i="8"/>
  <c r="F92" i="8"/>
  <c r="C75" i="8"/>
  <c r="H75" i="8"/>
  <c r="Q75" i="8"/>
  <c r="AB75" i="8"/>
  <c r="E75" i="8"/>
  <c r="O75" i="8"/>
  <c r="V75" i="8"/>
  <c r="F75" i="8"/>
  <c r="P75" i="8"/>
  <c r="B66" i="8"/>
  <c r="F66" i="8"/>
  <c r="P66" i="8"/>
  <c r="V66" i="8"/>
  <c r="AA66" i="8"/>
  <c r="C66" i="8"/>
  <c r="H66" i="8"/>
  <c r="Q66" i="8"/>
  <c r="AB66" i="8"/>
  <c r="E66" i="8"/>
  <c r="O66" i="8"/>
  <c r="Z66" i="8"/>
  <c r="B64" i="8"/>
  <c r="F64" i="8"/>
  <c r="C64" i="8"/>
  <c r="O64" i="8"/>
  <c r="U64" i="8"/>
  <c r="Z64" i="8"/>
  <c r="H64" i="8"/>
  <c r="Q64" i="8"/>
  <c r="AA64" i="8"/>
  <c r="C87" i="8"/>
  <c r="H87" i="8"/>
  <c r="Q87" i="8"/>
  <c r="AB87" i="8"/>
  <c r="C83" i="8"/>
  <c r="H83" i="8"/>
  <c r="Q83" i="8"/>
  <c r="AB83" i="8"/>
  <c r="C79" i="8"/>
  <c r="H79" i="8"/>
  <c r="Q79" i="8"/>
  <c r="AB79" i="8"/>
  <c r="B94" i="8"/>
  <c r="F94" i="8"/>
  <c r="P94" i="8"/>
  <c r="V94" i="8"/>
  <c r="AA94" i="8"/>
  <c r="B90" i="8"/>
  <c r="F90" i="8"/>
  <c r="P90" i="8"/>
  <c r="V90" i="8"/>
  <c r="AA90" i="8"/>
  <c r="Z87" i="8"/>
  <c r="E87" i="8"/>
  <c r="B86" i="8"/>
  <c r="F86" i="8"/>
  <c r="P86" i="8"/>
  <c r="V86" i="8"/>
  <c r="AA86" i="8"/>
  <c r="Z83" i="8"/>
  <c r="E83" i="8"/>
  <c r="B82" i="8"/>
  <c r="F82" i="8"/>
  <c r="P82" i="8"/>
  <c r="V82" i="8"/>
  <c r="AA82" i="8"/>
  <c r="Z79" i="8"/>
  <c r="E79" i="8"/>
  <c r="B78" i="8"/>
  <c r="F78" i="8"/>
  <c r="P78" i="8"/>
  <c r="V78" i="8"/>
  <c r="AA78" i="8"/>
  <c r="B46" i="8"/>
  <c r="F46" i="8"/>
  <c r="P46" i="8"/>
  <c r="V46" i="8"/>
  <c r="AA46" i="8"/>
  <c r="Q46" i="8"/>
  <c r="E46" i="8"/>
  <c r="Z46" i="8"/>
  <c r="C46" i="8"/>
  <c r="O46" i="8"/>
  <c r="H46" i="8"/>
  <c r="AB46" i="8"/>
  <c r="C35" i="8"/>
  <c r="H35" i="8"/>
  <c r="Q35" i="8"/>
  <c r="AB35" i="8"/>
  <c r="B35" i="8"/>
  <c r="U35" i="8"/>
  <c r="AA35" i="8"/>
  <c r="E35" i="8"/>
  <c r="O35" i="8"/>
  <c r="V35" i="8"/>
  <c r="Z35" i="8"/>
  <c r="P35" i="8"/>
  <c r="B54" i="8"/>
  <c r="F54" i="8"/>
  <c r="P54" i="8"/>
  <c r="Q54" i="8"/>
  <c r="AB54" i="8"/>
  <c r="E54" i="8"/>
  <c r="C39" i="8"/>
  <c r="H39" i="8"/>
  <c r="Q39" i="8"/>
  <c r="AB39" i="8"/>
  <c r="B39" i="8"/>
  <c r="U39" i="8"/>
  <c r="AA39" i="8"/>
  <c r="E39" i="8"/>
  <c r="O39" i="8"/>
  <c r="V39" i="8"/>
  <c r="AB62" i="8"/>
  <c r="Q62" i="8"/>
  <c r="E62" i="8"/>
  <c r="C61" i="8"/>
  <c r="H61" i="8"/>
  <c r="Q61" i="8"/>
  <c r="AB61" i="8"/>
  <c r="AB58" i="8"/>
  <c r="Q58" i="8"/>
  <c r="E58" i="8"/>
  <c r="C57" i="8"/>
  <c r="H57" i="8"/>
  <c r="Q57" i="8"/>
  <c r="AB57" i="8"/>
  <c r="AA54" i="8"/>
  <c r="U54" i="8"/>
  <c r="B50" i="8"/>
  <c r="F50" i="8"/>
  <c r="P50" i="8"/>
  <c r="V50" i="8"/>
  <c r="AA50" i="8"/>
  <c r="Q50" i="8"/>
  <c r="E50" i="8"/>
  <c r="Z50" i="8"/>
  <c r="C43" i="8"/>
  <c r="H43" i="8"/>
  <c r="Q43" i="8"/>
  <c r="AB43" i="8"/>
  <c r="B43" i="8"/>
  <c r="U43" i="8"/>
  <c r="AA43" i="8"/>
  <c r="E43" i="8"/>
  <c r="O43" i="8"/>
  <c r="V43" i="8"/>
  <c r="P39" i="8"/>
  <c r="AA56" i="8"/>
  <c r="V56" i="8"/>
  <c r="P56" i="8"/>
  <c r="F56" i="8"/>
  <c r="Z52" i="8"/>
  <c r="U52" i="8"/>
  <c r="O52" i="8"/>
  <c r="H52" i="8"/>
  <c r="Z48" i="8"/>
  <c r="U48" i="8"/>
  <c r="O48" i="8"/>
  <c r="H48" i="8"/>
  <c r="B42" i="8"/>
  <c r="F42" i="8"/>
  <c r="P42" i="8"/>
  <c r="V42" i="8"/>
  <c r="AA42" i="8"/>
  <c r="C42" i="8"/>
  <c r="H42" i="8"/>
  <c r="Q42" i="8"/>
  <c r="AB42" i="8"/>
  <c r="B38" i="8"/>
  <c r="F38" i="8"/>
  <c r="P38" i="8"/>
  <c r="V38" i="8"/>
  <c r="AA38" i="8"/>
  <c r="C38" i="8"/>
  <c r="H38" i="8"/>
  <c r="Q38" i="8"/>
  <c r="AB38" i="8"/>
  <c r="B34" i="8"/>
  <c r="F34" i="8"/>
  <c r="P34" i="8"/>
  <c r="V34" i="8"/>
  <c r="AA34" i="8"/>
  <c r="C34" i="8"/>
  <c r="H34" i="8"/>
  <c r="Q34" i="8"/>
  <c r="AB34" i="8"/>
  <c r="AA33" i="8"/>
  <c r="V33" i="8"/>
  <c r="P33" i="8"/>
  <c r="F33" i="8"/>
  <c r="K9" i="1"/>
  <c r="S9" i="1"/>
  <c r="AA9" i="1"/>
  <c r="H9" i="1"/>
  <c r="T9" i="1"/>
  <c r="AB9" i="1"/>
  <c r="I9" i="1"/>
  <c r="M9" i="1"/>
  <c r="Q9" i="1"/>
  <c r="U9" i="1"/>
  <c r="Y9" i="1"/>
  <c r="AC9" i="1"/>
  <c r="G9" i="1"/>
  <c r="O9" i="1"/>
  <c r="W9" i="1"/>
  <c r="L9" i="1"/>
  <c r="P9" i="1"/>
  <c r="X9" i="1"/>
  <c r="J9" i="1"/>
  <c r="N9" i="1"/>
  <c r="R9" i="1"/>
  <c r="V9" i="1"/>
  <c r="Z9" i="1"/>
  <c r="AD9" i="1"/>
  <c r="E11" i="8"/>
  <c r="B4" i="8"/>
  <c r="O5" i="8"/>
  <c r="O6" i="8"/>
  <c r="E8" i="8"/>
  <c r="U9" i="8"/>
  <c r="E10" i="8"/>
  <c r="C4" i="8"/>
  <c r="E4" i="8"/>
  <c r="H4" i="8"/>
  <c r="Q4" i="8"/>
  <c r="R4" i="8"/>
  <c r="U4" i="8"/>
  <c r="Y4" i="8"/>
  <c r="Z4" i="8"/>
  <c r="AB4" i="8"/>
  <c r="E5" i="8"/>
  <c r="R5" i="8"/>
  <c r="U5" i="8"/>
  <c r="Y5" i="8"/>
  <c r="F6" i="8"/>
  <c r="R6" i="8"/>
  <c r="U6" i="8"/>
  <c r="Y6" i="8"/>
  <c r="B7" i="8"/>
  <c r="C7" i="8"/>
  <c r="E7" i="8"/>
  <c r="F7" i="8"/>
  <c r="H7" i="8"/>
  <c r="O7" i="8"/>
  <c r="P7" i="8"/>
  <c r="Q7" i="8"/>
  <c r="R7" i="8"/>
  <c r="V7" i="8" s="1"/>
  <c r="U7" i="8"/>
  <c r="Y7" i="8"/>
  <c r="Z7" i="8"/>
  <c r="AA7" i="8"/>
  <c r="AB7" i="8"/>
  <c r="B8" i="8"/>
  <c r="C8" i="8"/>
  <c r="H8" i="8"/>
  <c r="O8" i="8"/>
  <c r="Q8" i="8"/>
  <c r="R8" i="8"/>
  <c r="U8" i="8"/>
  <c r="Y8" i="8"/>
  <c r="Z8" i="8"/>
  <c r="O9" i="8"/>
  <c r="R9" i="8"/>
  <c r="Y9" i="8"/>
  <c r="Z9" i="8"/>
  <c r="B10" i="8"/>
  <c r="P10" i="8"/>
  <c r="R10" i="8"/>
  <c r="Y10" i="8"/>
  <c r="B11" i="8"/>
  <c r="C11" i="8"/>
  <c r="F11" i="8"/>
  <c r="H11" i="8"/>
  <c r="O11" i="8"/>
  <c r="Q11" i="8"/>
  <c r="R11" i="8"/>
  <c r="V11" i="8" s="1"/>
  <c r="U11" i="8"/>
  <c r="Y11" i="8"/>
  <c r="Z11" i="8"/>
  <c r="AA11" i="8"/>
  <c r="AB11" i="8"/>
  <c r="B12" i="8"/>
  <c r="C12" i="8"/>
  <c r="E12" i="8"/>
  <c r="H12" i="8"/>
  <c r="O12" i="8"/>
  <c r="Q12" i="8"/>
  <c r="R12" i="8"/>
  <c r="U12" i="8"/>
  <c r="Y12" i="8"/>
  <c r="Z12" i="8"/>
  <c r="AB12" i="8"/>
  <c r="E13" i="8"/>
  <c r="O13" i="8"/>
  <c r="R13" i="8"/>
  <c r="U13" i="8"/>
  <c r="Y13" i="8"/>
  <c r="Z13" i="8"/>
  <c r="B14" i="8"/>
  <c r="E14" i="8"/>
  <c r="F14" i="8"/>
  <c r="O14" i="8"/>
  <c r="P14" i="8"/>
  <c r="R14" i="8"/>
  <c r="V14" i="8" s="1"/>
  <c r="U14" i="8"/>
  <c r="Y14" i="8"/>
  <c r="Z14" i="8"/>
  <c r="AA14" i="8"/>
  <c r="B15" i="8"/>
  <c r="C15" i="8"/>
  <c r="E15" i="8"/>
  <c r="F15" i="8"/>
  <c r="H15" i="8"/>
  <c r="O15" i="8"/>
  <c r="P15" i="8"/>
  <c r="Q15" i="8"/>
  <c r="R15" i="8"/>
  <c r="V15" i="8" s="1"/>
  <c r="U15" i="8"/>
  <c r="Y15" i="8"/>
  <c r="Z15" i="8"/>
  <c r="AA15" i="8"/>
  <c r="AB15" i="8"/>
  <c r="B16" i="8"/>
  <c r="C16" i="8"/>
  <c r="E16" i="8"/>
  <c r="H16" i="8"/>
  <c r="O16" i="8"/>
  <c r="Q16" i="8"/>
  <c r="R16" i="8"/>
  <c r="U16" i="8"/>
  <c r="Y16" i="8"/>
  <c r="Z16" i="8"/>
  <c r="AB16" i="8"/>
  <c r="E17" i="8"/>
  <c r="O17" i="8"/>
  <c r="R17" i="8"/>
  <c r="U17" i="8"/>
  <c r="Y17" i="8"/>
  <c r="Z17" i="8"/>
  <c r="B18" i="8"/>
  <c r="E18" i="8"/>
  <c r="F18" i="8"/>
  <c r="O18" i="8"/>
  <c r="P18" i="8"/>
  <c r="R18" i="8"/>
  <c r="V18" i="8" s="1"/>
  <c r="U18" i="8"/>
  <c r="Y18" i="8"/>
  <c r="Z18" i="8"/>
  <c r="AA18" i="8"/>
  <c r="B19" i="8"/>
  <c r="C19" i="8"/>
  <c r="E19" i="8"/>
  <c r="F19" i="8"/>
  <c r="H19" i="8"/>
  <c r="O19" i="8"/>
  <c r="P19" i="8"/>
  <c r="Q19" i="8"/>
  <c r="R19" i="8"/>
  <c r="V19" i="8" s="1"/>
  <c r="U19" i="8"/>
  <c r="Y19" i="8"/>
  <c r="Z19" i="8"/>
  <c r="AA19" i="8"/>
  <c r="AB19" i="8"/>
  <c r="B20" i="8"/>
  <c r="C20" i="8"/>
  <c r="E20" i="8"/>
  <c r="H20" i="8"/>
  <c r="O20" i="8"/>
  <c r="Q20" i="8"/>
  <c r="R20" i="8"/>
  <c r="U20" i="8"/>
  <c r="Y20" i="8"/>
  <c r="Z20" i="8"/>
  <c r="AB20" i="8"/>
  <c r="E21" i="8"/>
  <c r="O21" i="8"/>
  <c r="R21" i="8"/>
  <c r="U21" i="8"/>
  <c r="Y21" i="8"/>
  <c r="Z21" i="8"/>
  <c r="B22" i="8"/>
  <c r="E22" i="8"/>
  <c r="F22" i="8"/>
  <c r="O22" i="8"/>
  <c r="P22" i="8"/>
  <c r="R22" i="8"/>
  <c r="V22" i="8" s="1"/>
  <c r="U22" i="8"/>
  <c r="Y22" i="8"/>
  <c r="Z22" i="8"/>
  <c r="AA22" i="8"/>
  <c r="B23" i="8"/>
  <c r="C23" i="8"/>
  <c r="E23" i="8"/>
  <c r="F23" i="8"/>
  <c r="H23" i="8"/>
  <c r="O23" i="8"/>
  <c r="P23" i="8"/>
  <c r="Q23" i="8"/>
  <c r="R23" i="8"/>
  <c r="V23" i="8" s="1"/>
  <c r="U23" i="8"/>
  <c r="Y23" i="8"/>
  <c r="Z23" i="8"/>
  <c r="AA23" i="8"/>
  <c r="AB23" i="8"/>
  <c r="B24" i="8"/>
  <c r="C24" i="8"/>
  <c r="E24" i="8"/>
  <c r="H24" i="8"/>
  <c r="O24" i="8"/>
  <c r="P24" i="8"/>
  <c r="Q24" i="8"/>
  <c r="R24" i="8"/>
  <c r="V24" i="8" s="1"/>
  <c r="U24" i="8"/>
  <c r="Y24" i="8"/>
  <c r="Z24" i="8"/>
  <c r="AA24" i="8"/>
  <c r="AB24" i="8"/>
  <c r="Z25" i="8"/>
  <c r="E25" i="8"/>
  <c r="F25" i="8"/>
  <c r="O25" i="8"/>
  <c r="P25" i="8"/>
  <c r="R25" i="8"/>
  <c r="V25" i="8" s="1"/>
  <c r="U25" i="8"/>
  <c r="Y25" i="8"/>
  <c r="AA25" i="8"/>
  <c r="B26" i="8"/>
  <c r="C26" i="8"/>
  <c r="E26" i="8"/>
  <c r="F26" i="8"/>
  <c r="H26" i="8"/>
  <c r="O26" i="8"/>
  <c r="P26" i="8"/>
  <c r="Q26" i="8"/>
  <c r="R26" i="8"/>
  <c r="V26" i="8" s="1"/>
  <c r="U26" i="8"/>
  <c r="Y26" i="8"/>
  <c r="Z26" i="8"/>
  <c r="AA26" i="8"/>
  <c r="AB26" i="8"/>
  <c r="B27" i="8"/>
  <c r="C27" i="8"/>
  <c r="E27" i="8"/>
  <c r="F27" i="8"/>
  <c r="H27" i="8"/>
  <c r="O27" i="8"/>
  <c r="P27" i="8"/>
  <c r="Q27" i="8"/>
  <c r="R27" i="8"/>
  <c r="V27" i="8" s="1"/>
  <c r="U27" i="8"/>
  <c r="Y27" i="8"/>
  <c r="Z27" i="8"/>
  <c r="AA27" i="8"/>
  <c r="AB27" i="8"/>
  <c r="E28" i="8"/>
  <c r="O28" i="8"/>
  <c r="R28" i="8"/>
  <c r="U28" i="8"/>
  <c r="Y28" i="8"/>
  <c r="Z28" i="8"/>
  <c r="B29" i="8"/>
  <c r="E29" i="8"/>
  <c r="F29" i="8"/>
  <c r="O29" i="8"/>
  <c r="P29" i="8"/>
  <c r="R29" i="8"/>
  <c r="V29" i="8" s="1"/>
  <c r="U29" i="8"/>
  <c r="Y29" i="8"/>
  <c r="Z29" i="8"/>
  <c r="AA29" i="8"/>
  <c r="B30" i="8"/>
  <c r="C30" i="8"/>
  <c r="E30" i="8"/>
  <c r="F30" i="8"/>
  <c r="H30" i="8"/>
  <c r="O30" i="8"/>
  <c r="P30" i="8"/>
  <c r="Q30" i="8"/>
  <c r="R30" i="8"/>
  <c r="V30" i="8" s="1"/>
  <c r="U30" i="8"/>
  <c r="Y30" i="8"/>
  <c r="Z30" i="8"/>
  <c r="AA30" i="8"/>
  <c r="AB30" i="8"/>
  <c r="B31" i="8"/>
  <c r="C31" i="8"/>
  <c r="E31" i="8"/>
  <c r="F31" i="8"/>
  <c r="H31" i="8"/>
  <c r="O31" i="8"/>
  <c r="P31" i="8"/>
  <c r="Q31" i="8"/>
  <c r="R31" i="8"/>
  <c r="V31" i="8" s="1"/>
  <c r="U31" i="8"/>
  <c r="Y31" i="8"/>
  <c r="Z31" i="8"/>
  <c r="AA31" i="8"/>
  <c r="AB31" i="8"/>
  <c r="R32" i="8"/>
  <c r="U32" i="8"/>
  <c r="Y32" i="8"/>
  <c r="AB3" i="8"/>
  <c r="AA3" i="8"/>
  <c r="Z3" i="8"/>
  <c r="U3" i="8"/>
  <c r="R3" i="8"/>
  <c r="V3" i="8" s="1"/>
  <c r="Q3" i="8"/>
  <c r="P3" i="8"/>
  <c r="O3" i="8"/>
  <c r="F3" i="8"/>
  <c r="E3" i="8"/>
  <c r="C3" i="8"/>
  <c r="B3" i="8"/>
  <c r="P11" i="8" l="1"/>
  <c r="V10" i="8"/>
  <c r="O10" i="8"/>
  <c r="AA6" i="8"/>
  <c r="V6" i="8"/>
  <c r="E6" i="8"/>
  <c r="AA10" i="8"/>
  <c r="U10" i="8"/>
  <c r="F10" i="8"/>
  <c r="E9" i="8"/>
  <c r="Z6" i="8"/>
  <c r="P6" i="8"/>
  <c r="B6" i="8"/>
  <c r="Z10" i="8"/>
  <c r="AB8" i="8"/>
  <c r="Z5" i="8"/>
  <c r="O4" i="8"/>
  <c r="B32" i="8"/>
  <c r="F32" i="8"/>
  <c r="P32" i="8"/>
  <c r="V32" i="8"/>
  <c r="AA32" i="8"/>
  <c r="E32" i="8"/>
  <c r="Z32" i="8"/>
  <c r="Q32" i="8"/>
  <c r="H32" i="8"/>
  <c r="AB32" i="8"/>
  <c r="C32" i="8"/>
  <c r="O32" i="8"/>
  <c r="C29" i="8"/>
  <c r="H29" i="8"/>
  <c r="Q29" i="8"/>
  <c r="AB29" i="8"/>
  <c r="C28" i="8"/>
  <c r="H28" i="8"/>
  <c r="Q28" i="8"/>
  <c r="AB28" i="8"/>
  <c r="B28" i="8"/>
  <c r="F28" i="8"/>
  <c r="P28" i="8"/>
  <c r="V28" i="8"/>
  <c r="AA28" i="8"/>
  <c r="C25" i="8"/>
  <c r="B25" i="8"/>
  <c r="H25" i="8"/>
  <c r="Q25" i="8"/>
  <c r="AB25" i="8"/>
  <c r="C22" i="8"/>
  <c r="H22" i="8"/>
  <c r="Q22" i="8"/>
  <c r="AB22" i="8"/>
  <c r="C18" i="8"/>
  <c r="H18" i="8"/>
  <c r="Q18" i="8"/>
  <c r="AB18" i="8"/>
  <c r="C14" i="8"/>
  <c r="H14" i="8"/>
  <c r="Q14" i="8"/>
  <c r="AB14" i="8"/>
  <c r="C10" i="8"/>
  <c r="H10" i="8"/>
  <c r="Q10" i="8"/>
  <c r="AB10" i="8"/>
  <c r="C6" i="8"/>
  <c r="H6" i="8"/>
  <c r="Q6" i="8"/>
  <c r="AB6" i="8"/>
  <c r="B21" i="8"/>
  <c r="F21" i="8"/>
  <c r="P21" i="8"/>
  <c r="V21" i="8"/>
  <c r="AA21" i="8"/>
  <c r="C21" i="8"/>
  <c r="H21" i="8"/>
  <c r="Q21" i="8"/>
  <c r="AB21" i="8"/>
  <c r="B17" i="8"/>
  <c r="F17" i="8"/>
  <c r="P17" i="8"/>
  <c r="V17" i="8"/>
  <c r="AA17" i="8"/>
  <c r="C17" i="8"/>
  <c r="H17" i="8"/>
  <c r="Q17" i="8"/>
  <c r="AB17" i="8"/>
  <c r="B13" i="8"/>
  <c r="F13" i="8"/>
  <c r="P13" i="8"/>
  <c r="V13" i="8"/>
  <c r="AA13" i="8"/>
  <c r="C13" i="8"/>
  <c r="H13" i="8"/>
  <c r="Q13" i="8"/>
  <c r="AB13" i="8"/>
  <c r="B9" i="8"/>
  <c r="F9" i="8"/>
  <c r="P9" i="8"/>
  <c r="V9" i="8"/>
  <c r="AA9" i="8"/>
  <c r="C9" i="8"/>
  <c r="H9" i="8"/>
  <c r="Q9" i="8"/>
  <c r="AB9" i="8"/>
  <c r="B5" i="8"/>
  <c r="F5" i="8"/>
  <c r="P5" i="8"/>
  <c r="V5" i="8"/>
  <c r="AA5" i="8"/>
  <c r="C5" i="8"/>
  <c r="H5" i="8"/>
  <c r="Q5" i="8"/>
  <c r="AB5" i="8"/>
  <c r="F24" i="8"/>
  <c r="AA20" i="8"/>
  <c r="V20" i="8"/>
  <c r="P20" i="8"/>
  <c r="F20" i="8"/>
  <c r="AA16" i="8"/>
  <c r="V16" i="8"/>
  <c r="P16" i="8"/>
  <c r="F16" i="8"/>
  <c r="AA12" i="8"/>
  <c r="V12" i="8"/>
  <c r="P12" i="8"/>
  <c r="F12" i="8"/>
  <c r="AA8" i="8"/>
  <c r="V8" i="8"/>
  <c r="P8" i="8"/>
  <c r="F8" i="8"/>
  <c r="AA4" i="8"/>
  <c r="V4" i="8"/>
  <c r="P4" i="8"/>
  <c r="F4" i="8"/>
  <c r="P123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H3" i="8" l="1"/>
  <c r="D6" i="10" l="1"/>
  <c r="B6" i="10"/>
  <c r="A5" i="10"/>
  <c r="O6" i="10" l="1"/>
  <c r="G6" i="10"/>
  <c r="C14" i="10"/>
  <c r="D14" i="10" s="1"/>
  <c r="B1" i="10"/>
  <c r="B2" i="10" s="1"/>
  <c r="AC10" i="10" l="1"/>
  <c r="AA10" i="10"/>
  <c r="AB10" i="10"/>
  <c r="Y10" i="10"/>
  <c r="Z10" i="10"/>
  <c r="W10" i="10"/>
  <c r="X10" i="10"/>
  <c r="U10" i="10"/>
  <c r="V10" i="10"/>
  <c r="S10" i="10"/>
  <c r="T10" i="10"/>
  <c r="Q10" i="10"/>
  <c r="R10" i="10"/>
  <c r="O10" i="10"/>
  <c r="P10" i="10"/>
  <c r="M10" i="10"/>
  <c r="M9" i="10" s="1"/>
  <c r="N10" i="10"/>
  <c r="N9" i="10" s="1"/>
  <c r="K10" i="10"/>
  <c r="K9" i="10" s="1"/>
  <c r="L10" i="10"/>
  <c r="L9" i="10" s="1"/>
  <c r="I10" i="10"/>
  <c r="I9" i="10" s="1"/>
  <c r="J10" i="10"/>
  <c r="J9" i="10" s="1"/>
  <c r="G10" i="10"/>
  <c r="G9" i="10" s="1"/>
  <c r="H10" i="10"/>
  <c r="H9" i="10" s="1"/>
  <c r="O7" i="10"/>
  <c r="Q7" i="10"/>
  <c r="O9" i="10" l="1"/>
  <c r="P2" i="11" l="1"/>
  <c r="F14" i="10"/>
  <c r="F13" i="10"/>
  <c r="F11" i="10"/>
  <c r="F10" i="10"/>
  <c r="F9" i="10"/>
  <c r="F8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P7" i="10"/>
  <c r="N7" i="10"/>
  <c r="M7" i="10"/>
  <c r="L7" i="10"/>
  <c r="K7" i="10"/>
  <c r="J7" i="10"/>
  <c r="I7" i="10"/>
  <c r="H7" i="10"/>
  <c r="G7" i="10"/>
  <c r="F7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P9" i="10" s="1"/>
  <c r="N6" i="10"/>
  <c r="M6" i="10"/>
  <c r="L6" i="10"/>
  <c r="K6" i="10"/>
  <c r="J6" i="10"/>
  <c r="I6" i="10"/>
  <c r="H6" i="10"/>
  <c r="F6" i="10"/>
  <c r="Q9" i="10" l="1"/>
  <c r="R9" i="10" s="1"/>
  <c r="S9" i="10" s="1"/>
  <c r="T9" i="10" s="1"/>
  <c r="U9" i="10" s="1"/>
  <c r="V9" i="10" s="1"/>
  <c r="W9" i="10" s="1"/>
  <c r="X9" i="10" s="1"/>
  <c r="Y9" i="10" s="1"/>
  <c r="Z9" i="10" s="1"/>
  <c r="AA9" i="10" s="1"/>
  <c r="AB9" i="10" s="1"/>
  <c r="AC9" i="10" s="1"/>
  <c r="AD9" i="10" s="1"/>
  <c r="H14" i="10"/>
  <c r="L14" i="10"/>
  <c r="I14" i="10"/>
  <c r="M14" i="10"/>
  <c r="J14" i="10"/>
  <c r="N14" i="10"/>
  <c r="G14" i="10"/>
  <c r="K14" i="10"/>
  <c r="O14" i="10"/>
  <c r="G11" i="10" l="1"/>
  <c r="P14" i="10"/>
  <c r="Q14" i="10" l="1"/>
  <c r="H11" i="10"/>
  <c r="R14" i="10" l="1"/>
  <c r="I11" i="10"/>
  <c r="S14" i="10" l="1"/>
  <c r="J11" i="10"/>
  <c r="T14" i="10" l="1"/>
  <c r="K11" i="10"/>
  <c r="U14" i="10" l="1"/>
  <c r="L11" i="10"/>
  <c r="V14" i="10" l="1"/>
  <c r="M11" i="10"/>
  <c r="W14" i="10" l="1"/>
  <c r="N11" i="10"/>
  <c r="X14" i="10" l="1"/>
  <c r="O11" i="10"/>
  <c r="Y14" i="10" l="1"/>
  <c r="P11" i="10"/>
  <c r="Z14" i="10" l="1"/>
  <c r="Q11" i="10"/>
  <c r="AA14" i="10" l="1"/>
  <c r="R11" i="10"/>
  <c r="AB14" i="10" l="1"/>
  <c r="S11" i="10"/>
  <c r="AC14" i="10" l="1"/>
  <c r="T11" i="10"/>
  <c r="AD14" i="10" l="1"/>
  <c r="U11" i="10"/>
  <c r="V11" i="10" l="1"/>
  <c r="W11" i="10" l="1"/>
  <c r="X11" i="10" l="1"/>
  <c r="Y11" i="10" l="1"/>
  <c r="Z11" i="10" l="1"/>
  <c r="AA11" i="10" l="1"/>
  <c r="AB11" i="10" l="1"/>
  <c r="AC11" i="10" l="1"/>
  <c r="AD11" i="10" l="1"/>
  <c r="Y3" i="8" l="1"/>
  <c r="C20" i="1"/>
  <c r="D20" i="1" s="1"/>
  <c r="D6" i="1"/>
  <c r="B6" i="1"/>
  <c r="A5" i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 l="1"/>
  <c r="F6" i="1"/>
  <c r="B1" i="1"/>
  <c r="D36" i="8" l="1"/>
  <c r="I36" i="8" s="1"/>
  <c r="D40" i="8"/>
  <c r="I40" i="8" s="1"/>
  <c r="D44" i="8"/>
  <c r="I44" i="8" s="1"/>
  <c r="D48" i="8"/>
  <c r="I48" i="8" s="1"/>
  <c r="D52" i="8"/>
  <c r="I52" i="8" s="1"/>
  <c r="D35" i="8"/>
  <c r="I35" i="8" s="1"/>
  <c r="D39" i="8"/>
  <c r="I39" i="8" s="1"/>
  <c r="D43" i="8"/>
  <c r="I43" i="8" s="1"/>
  <c r="D46" i="8"/>
  <c r="I46" i="8" s="1"/>
  <c r="D50" i="8"/>
  <c r="I50" i="8" s="1"/>
  <c r="D54" i="8"/>
  <c r="I54" i="8" s="1"/>
  <c r="D55" i="8"/>
  <c r="I55" i="8" s="1"/>
  <c r="D34" i="8"/>
  <c r="I34" i="8" s="1"/>
  <c r="D38" i="8"/>
  <c r="I38" i="8" s="1"/>
  <c r="D42" i="8"/>
  <c r="I42" i="8" s="1"/>
  <c r="D47" i="8"/>
  <c r="I47" i="8" s="1"/>
  <c r="D51" i="8"/>
  <c r="I51" i="8" s="1"/>
  <c r="D58" i="8"/>
  <c r="I58" i="8" s="1"/>
  <c r="D62" i="8"/>
  <c r="I62" i="8" s="1"/>
  <c r="D45" i="8"/>
  <c r="I45" i="8" s="1"/>
  <c r="D59" i="8"/>
  <c r="I59" i="8" s="1"/>
  <c r="D63" i="8"/>
  <c r="I63" i="8" s="1"/>
  <c r="D68" i="8"/>
  <c r="I68" i="8" s="1"/>
  <c r="D72" i="8"/>
  <c r="I72" i="8" s="1"/>
  <c r="D76" i="8"/>
  <c r="I76" i="8" s="1"/>
  <c r="D80" i="8"/>
  <c r="I80" i="8" s="1"/>
  <c r="D84" i="8"/>
  <c r="I84" i="8" s="1"/>
  <c r="D88" i="8"/>
  <c r="I88" i="8" s="1"/>
  <c r="D92" i="8"/>
  <c r="I92" i="8" s="1"/>
  <c r="D41" i="8"/>
  <c r="I41" i="8" s="1"/>
  <c r="D49" i="8"/>
  <c r="I49" i="8" s="1"/>
  <c r="D60" i="8"/>
  <c r="I60" i="8" s="1"/>
  <c r="D64" i="8"/>
  <c r="I64" i="8" s="1"/>
  <c r="D67" i="8"/>
  <c r="I67" i="8" s="1"/>
  <c r="D71" i="8"/>
  <c r="I71" i="8" s="1"/>
  <c r="D75" i="8"/>
  <c r="I75" i="8" s="1"/>
  <c r="D56" i="8"/>
  <c r="I56" i="8" s="1"/>
  <c r="D66" i="8"/>
  <c r="I66" i="8" s="1"/>
  <c r="D70" i="8"/>
  <c r="I70" i="8" s="1"/>
  <c r="D74" i="8"/>
  <c r="I74" i="8" s="1"/>
  <c r="D98" i="8"/>
  <c r="I98" i="8" s="1"/>
  <c r="D102" i="8"/>
  <c r="I102" i="8" s="1"/>
  <c r="D37" i="8"/>
  <c r="I37" i="8" s="1"/>
  <c r="D53" i="8"/>
  <c r="I53" i="8" s="1"/>
  <c r="D81" i="8"/>
  <c r="I81" i="8" s="1"/>
  <c r="D85" i="8"/>
  <c r="I85" i="8" s="1"/>
  <c r="D65" i="8"/>
  <c r="I65" i="8" s="1"/>
  <c r="D79" i="8"/>
  <c r="I79" i="8" s="1"/>
  <c r="D83" i="8"/>
  <c r="I83" i="8" s="1"/>
  <c r="D87" i="8"/>
  <c r="I87" i="8" s="1"/>
  <c r="D69" i="8"/>
  <c r="I69" i="8" s="1"/>
  <c r="D89" i="8"/>
  <c r="I89" i="8" s="1"/>
  <c r="D90" i="8"/>
  <c r="I90" i="8" s="1"/>
  <c r="D91" i="8"/>
  <c r="I91" i="8" s="1"/>
  <c r="D99" i="8"/>
  <c r="I99" i="8" s="1"/>
  <c r="D103" i="8"/>
  <c r="I103" i="8" s="1"/>
  <c r="D82" i="8"/>
  <c r="I82" i="8" s="1"/>
  <c r="D94" i="8"/>
  <c r="I94" i="8" s="1"/>
  <c r="D33" i="8"/>
  <c r="I33" i="8" s="1"/>
  <c r="D95" i="8"/>
  <c r="I95" i="8" s="1"/>
  <c r="D77" i="8"/>
  <c r="I77" i="8" s="1"/>
  <c r="D86" i="8"/>
  <c r="I86" i="8" s="1"/>
  <c r="D96" i="8"/>
  <c r="I96" i="8" s="1"/>
  <c r="D100" i="8"/>
  <c r="I100" i="8" s="1"/>
  <c r="D104" i="8"/>
  <c r="I104" i="8" s="1"/>
  <c r="D61" i="8"/>
  <c r="I61" i="8" s="1"/>
  <c r="D57" i="8"/>
  <c r="I57" i="8" s="1"/>
  <c r="D93" i="8"/>
  <c r="I93" i="8" s="1"/>
  <c r="D78" i="8"/>
  <c r="I78" i="8" s="1"/>
  <c r="D97" i="8"/>
  <c r="I97" i="8" s="1"/>
  <c r="D73" i="8"/>
  <c r="I73" i="8" s="1"/>
  <c r="D101" i="8"/>
  <c r="I101" i="8" s="1"/>
  <c r="D7" i="8"/>
  <c r="I7" i="8" s="1"/>
  <c r="D11" i="8"/>
  <c r="I11" i="8" s="1"/>
  <c r="D15" i="8"/>
  <c r="I15" i="8" s="1"/>
  <c r="D19" i="8"/>
  <c r="I19" i="8" s="1"/>
  <c r="D23" i="8"/>
  <c r="I23" i="8" s="1"/>
  <c r="D6" i="8"/>
  <c r="I6" i="8" s="1"/>
  <c r="D10" i="8"/>
  <c r="I10" i="8" s="1"/>
  <c r="D14" i="8"/>
  <c r="I14" i="8" s="1"/>
  <c r="D18" i="8"/>
  <c r="I18" i="8" s="1"/>
  <c r="D22" i="8"/>
  <c r="I22" i="8" s="1"/>
  <c r="D25" i="8"/>
  <c r="I25" i="8" s="1"/>
  <c r="D29" i="8"/>
  <c r="I29" i="8" s="1"/>
  <c r="D26" i="8"/>
  <c r="I26" i="8" s="1"/>
  <c r="D30" i="8"/>
  <c r="I30" i="8" s="1"/>
  <c r="D12" i="8"/>
  <c r="I12" i="8" s="1"/>
  <c r="D17" i="8"/>
  <c r="I17" i="8" s="1"/>
  <c r="D5" i="8"/>
  <c r="I5" i="8" s="1"/>
  <c r="D16" i="8"/>
  <c r="I16" i="8" s="1"/>
  <c r="D21" i="8"/>
  <c r="I21" i="8" s="1"/>
  <c r="D27" i="8"/>
  <c r="I27" i="8" s="1"/>
  <c r="D31" i="8"/>
  <c r="I31" i="8" s="1"/>
  <c r="D32" i="8"/>
  <c r="I32" i="8" s="1"/>
  <c r="D8" i="8"/>
  <c r="I8" i="8" s="1"/>
  <c r="D9" i="8"/>
  <c r="I9" i="8" s="1"/>
  <c r="D20" i="8"/>
  <c r="I20" i="8" s="1"/>
  <c r="D13" i="8"/>
  <c r="I13" i="8" s="1"/>
  <c r="D28" i="8"/>
  <c r="I28" i="8" s="1"/>
  <c r="D4" i="8"/>
  <c r="I4" i="8" s="1"/>
  <c r="D24" i="8"/>
  <c r="I24" i="8" s="1"/>
  <c r="D3" i="8"/>
  <c r="I3" i="8" s="1"/>
  <c r="B2" i="1"/>
  <c r="B20" i="1"/>
  <c r="AD12" i="1" s="1"/>
  <c r="AD20" i="1" l="1"/>
  <c r="K104" i="8"/>
  <c r="M104" i="8"/>
  <c r="J104" i="8"/>
  <c r="L104" i="8" s="1"/>
  <c r="J77" i="8"/>
  <c r="L77" i="8" s="1"/>
  <c r="K77" i="8"/>
  <c r="M77" i="8"/>
  <c r="K82" i="8"/>
  <c r="M82" i="8"/>
  <c r="W82" i="8"/>
  <c r="J82" i="8"/>
  <c r="L82" i="8" s="1"/>
  <c r="J103" i="8"/>
  <c r="L103" i="8" s="1"/>
  <c r="M103" i="8"/>
  <c r="K103" i="8"/>
  <c r="J89" i="8"/>
  <c r="L89" i="8" s="1"/>
  <c r="M89" i="8"/>
  <c r="K89" i="8"/>
  <c r="K87" i="8"/>
  <c r="M87" i="8"/>
  <c r="J87" i="8"/>
  <c r="L87" i="8" s="1"/>
  <c r="J85" i="8"/>
  <c r="L85" i="8" s="1"/>
  <c r="M85" i="8"/>
  <c r="K85" i="8"/>
  <c r="K74" i="8"/>
  <c r="W74" i="8"/>
  <c r="J74" i="8"/>
  <c r="L74" i="8" s="1"/>
  <c r="M74" i="8"/>
  <c r="W75" i="8"/>
  <c r="J75" i="8"/>
  <c r="L75" i="8" s="1"/>
  <c r="K75" i="8"/>
  <c r="M75" i="8"/>
  <c r="K60" i="8"/>
  <c r="W60" i="8"/>
  <c r="J60" i="8"/>
  <c r="L60" i="8" s="1"/>
  <c r="M60" i="8"/>
  <c r="J88" i="8"/>
  <c r="L88" i="8" s="1"/>
  <c r="K88" i="8"/>
  <c r="W88" i="8"/>
  <c r="M88" i="8"/>
  <c r="J72" i="8"/>
  <c r="L72" i="8" s="1"/>
  <c r="W72" i="8"/>
  <c r="K72" i="8"/>
  <c r="M72" i="8"/>
  <c r="J45" i="8"/>
  <c r="L45" i="8" s="1"/>
  <c r="K45" i="8"/>
  <c r="M45" i="8"/>
  <c r="W47" i="8"/>
  <c r="J47" i="8"/>
  <c r="L47" i="8" s="1"/>
  <c r="K47" i="8"/>
  <c r="M47" i="8"/>
  <c r="M55" i="8"/>
  <c r="J55" i="8"/>
  <c r="L55" i="8" s="1"/>
  <c r="W55" i="8"/>
  <c r="K55" i="8"/>
  <c r="W43" i="8"/>
  <c r="K43" i="8"/>
  <c r="J43" i="8"/>
  <c r="L43" i="8" s="1"/>
  <c r="M43" i="8"/>
  <c r="J48" i="8"/>
  <c r="L48" i="8" s="1"/>
  <c r="K48" i="8"/>
  <c r="M48" i="8"/>
  <c r="W97" i="8"/>
  <c r="K97" i="8"/>
  <c r="M97" i="8"/>
  <c r="J97" i="8"/>
  <c r="L97" i="8" s="1"/>
  <c r="J93" i="8"/>
  <c r="L93" i="8" s="1"/>
  <c r="M93" i="8"/>
  <c r="K93" i="8"/>
  <c r="W93" i="8"/>
  <c r="K100" i="8"/>
  <c r="M100" i="8"/>
  <c r="W100" i="8"/>
  <c r="J100" i="8"/>
  <c r="L100" i="8" s="1"/>
  <c r="K95" i="8"/>
  <c r="M95" i="8"/>
  <c r="J95" i="8"/>
  <c r="L95" i="8" s="1"/>
  <c r="J99" i="8"/>
  <c r="L99" i="8" s="1"/>
  <c r="M99" i="8"/>
  <c r="K99" i="8"/>
  <c r="W99" i="8"/>
  <c r="J69" i="8"/>
  <c r="L69" i="8" s="1"/>
  <c r="K69" i="8"/>
  <c r="M69" i="8"/>
  <c r="K83" i="8"/>
  <c r="M83" i="8"/>
  <c r="J83" i="8"/>
  <c r="L83" i="8" s="1"/>
  <c r="J81" i="8"/>
  <c r="L81" i="8" s="1"/>
  <c r="M81" i="8"/>
  <c r="K81" i="8"/>
  <c r="K70" i="8"/>
  <c r="J70" i="8"/>
  <c r="L70" i="8" s="1"/>
  <c r="M70" i="8"/>
  <c r="W71" i="8"/>
  <c r="J71" i="8"/>
  <c r="L71" i="8" s="1"/>
  <c r="K71" i="8"/>
  <c r="M71" i="8"/>
  <c r="J49" i="8"/>
  <c r="L49" i="8" s="1"/>
  <c r="K49" i="8"/>
  <c r="W49" i="8"/>
  <c r="M49" i="8"/>
  <c r="J84" i="8"/>
  <c r="L84" i="8" s="1"/>
  <c r="K84" i="8"/>
  <c r="W84" i="8"/>
  <c r="M84" i="8"/>
  <c r="J68" i="8"/>
  <c r="L68" i="8" s="1"/>
  <c r="K68" i="8"/>
  <c r="M68" i="8"/>
  <c r="K62" i="8"/>
  <c r="W62" i="8"/>
  <c r="J62" i="8"/>
  <c r="L62" i="8" s="1"/>
  <c r="M62" i="8"/>
  <c r="K42" i="8"/>
  <c r="J42" i="8"/>
  <c r="L42" i="8" s="1"/>
  <c r="M42" i="8"/>
  <c r="K54" i="8"/>
  <c r="J54" i="8"/>
  <c r="L54" i="8" s="1"/>
  <c r="W54" i="8"/>
  <c r="M54" i="8"/>
  <c r="K39" i="8"/>
  <c r="J39" i="8"/>
  <c r="L39" i="8" s="1"/>
  <c r="M39" i="8"/>
  <c r="J44" i="8"/>
  <c r="L44" i="8" s="1"/>
  <c r="W44" i="8"/>
  <c r="K44" i="8"/>
  <c r="M44" i="8"/>
  <c r="K101" i="8"/>
  <c r="M101" i="8"/>
  <c r="J101" i="8"/>
  <c r="L101" i="8" s="1"/>
  <c r="K78" i="8"/>
  <c r="M78" i="8"/>
  <c r="W78" i="8"/>
  <c r="J78" i="8"/>
  <c r="L78" i="8" s="1"/>
  <c r="M57" i="8"/>
  <c r="J57" i="8"/>
  <c r="L57" i="8" s="1"/>
  <c r="K57" i="8"/>
  <c r="W61" i="8"/>
  <c r="M61" i="8"/>
  <c r="J61" i="8"/>
  <c r="L61" i="8" s="1"/>
  <c r="K61" i="8"/>
  <c r="K96" i="8"/>
  <c r="M96" i="8"/>
  <c r="J96" i="8"/>
  <c r="L96" i="8" s="1"/>
  <c r="J33" i="8"/>
  <c r="L33" i="8" s="1"/>
  <c r="K33" i="8"/>
  <c r="W33" i="8"/>
  <c r="M33" i="8"/>
  <c r="W91" i="8"/>
  <c r="K91" i="8"/>
  <c r="J91" i="8"/>
  <c r="L91" i="8" s="1"/>
  <c r="M91" i="8"/>
  <c r="K79" i="8"/>
  <c r="M79" i="8"/>
  <c r="J79" i="8"/>
  <c r="L79" i="8" s="1"/>
  <c r="J53" i="8"/>
  <c r="L53" i="8" s="1"/>
  <c r="K53" i="8"/>
  <c r="M53" i="8"/>
  <c r="J102" i="8"/>
  <c r="L102" i="8" s="1"/>
  <c r="K102" i="8"/>
  <c r="M102" i="8"/>
  <c r="K66" i="8"/>
  <c r="W66" i="8"/>
  <c r="J66" i="8"/>
  <c r="L66" i="8" s="1"/>
  <c r="M66" i="8"/>
  <c r="W67" i="8"/>
  <c r="J67" i="8"/>
  <c r="L67" i="8" s="1"/>
  <c r="K67" i="8"/>
  <c r="M67" i="8"/>
  <c r="J41" i="8"/>
  <c r="L41" i="8" s="1"/>
  <c r="K41" i="8"/>
  <c r="M41" i="8"/>
  <c r="W41" i="8"/>
  <c r="J80" i="8"/>
  <c r="L80" i="8" s="1"/>
  <c r="K80" i="8"/>
  <c r="W80" i="8"/>
  <c r="M80" i="8"/>
  <c r="J63" i="8"/>
  <c r="L63" i="8" s="1"/>
  <c r="K63" i="8"/>
  <c r="W63" i="8"/>
  <c r="M63" i="8"/>
  <c r="K58" i="8"/>
  <c r="W58" i="8"/>
  <c r="J58" i="8"/>
  <c r="L58" i="8" s="1"/>
  <c r="M58" i="8"/>
  <c r="K38" i="8"/>
  <c r="J38" i="8"/>
  <c r="L38" i="8" s="1"/>
  <c r="M38" i="8"/>
  <c r="K50" i="8"/>
  <c r="J50" i="8"/>
  <c r="L50" i="8" s="1"/>
  <c r="M50" i="8"/>
  <c r="W50" i="8"/>
  <c r="W35" i="8"/>
  <c r="K35" i="8"/>
  <c r="J35" i="8"/>
  <c r="L35" i="8" s="1"/>
  <c r="M35" i="8"/>
  <c r="J40" i="8"/>
  <c r="L40" i="8" s="1"/>
  <c r="K40" i="8"/>
  <c r="M40" i="8"/>
  <c r="J73" i="8"/>
  <c r="L73" i="8" s="1"/>
  <c r="K73" i="8"/>
  <c r="M73" i="8"/>
  <c r="W73" i="8"/>
  <c r="K86" i="8"/>
  <c r="M86" i="8"/>
  <c r="W86" i="8"/>
  <c r="J86" i="8"/>
  <c r="L86" i="8" s="1"/>
  <c r="K94" i="8"/>
  <c r="M94" i="8"/>
  <c r="J94" i="8"/>
  <c r="L94" i="8" s="1"/>
  <c r="K90" i="8"/>
  <c r="M90" i="8"/>
  <c r="J90" i="8"/>
  <c r="L90" i="8" s="1"/>
  <c r="W90" i="8"/>
  <c r="J65" i="8"/>
  <c r="L65" i="8" s="1"/>
  <c r="K65" i="8"/>
  <c r="M65" i="8"/>
  <c r="J37" i="8"/>
  <c r="L37" i="8" s="1"/>
  <c r="K37" i="8"/>
  <c r="M37" i="8"/>
  <c r="W37" i="8"/>
  <c r="J98" i="8"/>
  <c r="L98" i="8" s="1"/>
  <c r="K98" i="8"/>
  <c r="W98" i="8"/>
  <c r="M98" i="8"/>
  <c r="J56" i="8"/>
  <c r="L56" i="8" s="1"/>
  <c r="K56" i="8"/>
  <c r="M56" i="8"/>
  <c r="J64" i="8"/>
  <c r="L64" i="8" s="1"/>
  <c r="K64" i="8"/>
  <c r="W64" i="8"/>
  <c r="M64" i="8"/>
  <c r="J92" i="8"/>
  <c r="L92" i="8" s="1"/>
  <c r="K92" i="8"/>
  <c r="M92" i="8"/>
  <c r="J76" i="8"/>
  <c r="L76" i="8" s="1"/>
  <c r="K76" i="8"/>
  <c r="M76" i="8"/>
  <c r="J59" i="8"/>
  <c r="L59" i="8" s="1"/>
  <c r="K59" i="8"/>
  <c r="W59" i="8"/>
  <c r="M59" i="8"/>
  <c r="J51" i="8"/>
  <c r="L51" i="8" s="1"/>
  <c r="K51" i="8"/>
  <c r="M51" i="8"/>
  <c r="K34" i="8"/>
  <c r="J34" i="8"/>
  <c r="L34" i="8" s="1"/>
  <c r="M34" i="8"/>
  <c r="K46" i="8"/>
  <c r="J46" i="8"/>
  <c r="L46" i="8" s="1"/>
  <c r="W46" i="8"/>
  <c r="M46" i="8"/>
  <c r="J52" i="8"/>
  <c r="L52" i="8" s="1"/>
  <c r="K52" i="8"/>
  <c r="M52" i="8"/>
  <c r="M36" i="8"/>
  <c r="J36" i="8"/>
  <c r="L36" i="8" s="1"/>
  <c r="K36" i="8"/>
  <c r="AB20" i="1"/>
  <c r="AC20" i="1"/>
  <c r="Z20" i="1"/>
  <c r="AA20" i="1"/>
  <c r="X20" i="1"/>
  <c r="Y20" i="1"/>
  <c r="V20" i="1"/>
  <c r="W20" i="1"/>
  <c r="T20" i="1"/>
  <c r="U20" i="1"/>
  <c r="R20" i="1"/>
  <c r="S20" i="1"/>
  <c r="P20" i="1"/>
  <c r="Q20" i="1"/>
  <c r="N20" i="1"/>
  <c r="O20" i="1"/>
  <c r="L20" i="1"/>
  <c r="M20" i="1"/>
  <c r="J20" i="1"/>
  <c r="K20" i="1"/>
  <c r="H20" i="1"/>
  <c r="I20" i="1"/>
  <c r="AC15" i="1"/>
  <c r="G20" i="1"/>
  <c r="AA15" i="1"/>
  <c r="AB15" i="1"/>
  <c r="Y15" i="1"/>
  <c r="Z15" i="1"/>
  <c r="W15" i="1"/>
  <c r="X15" i="1"/>
  <c r="U15" i="1"/>
  <c r="V15" i="1"/>
  <c r="S15" i="1"/>
  <c r="T15" i="1"/>
  <c r="Q15" i="1"/>
  <c r="R15" i="1"/>
  <c r="O15" i="1"/>
  <c r="P15" i="1"/>
  <c r="M15" i="1"/>
  <c r="N15" i="1"/>
  <c r="K15" i="1"/>
  <c r="L15" i="1"/>
  <c r="I15" i="1"/>
  <c r="J15" i="1"/>
  <c r="G15" i="1"/>
  <c r="H15" i="1"/>
  <c r="AB12" i="1"/>
  <c r="AC12" i="1"/>
  <c r="Z12" i="1"/>
  <c r="AA12" i="1"/>
  <c r="X12" i="1"/>
  <c r="Y12" i="1"/>
  <c r="V12" i="1"/>
  <c r="W12" i="1"/>
  <c r="T12" i="1"/>
  <c r="U12" i="1"/>
  <c r="R12" i="1"/>
  <c r="S12" i="1"/>
  <c r="P12" i="1"/>
  <c r="Q12" i="1"/>
  <c r="N12" i="1"/>
  <c r="O12" i="1"/>
  <c r="L12" i="1"/>
  <c r="M12" i="1"/>
  <c r="J12" i="1"/>
  <c r="K12" i="1"/>
  <c r="H12" i="1"/>
  <c r="I12" i="1"/>
  <c r="G12" i="1"/>
  <c r="AC10" i="1"/>
  <c r="AD10" i="1"/>
  <c r="AA10" i="1"/>
  <c r="AB10" i="1"/>
  <c r="Y10" i="1"/>
  <c r="Z10" i="1"/>
  <c r="W10" i="1"/>
  <c r="X10" i="1"/>
  <c r="U10" i="1"/>
  <c r="V10" i="1"/>
  <c r="S10" i="1"/>
  <c r="T10" i="1"/>
  <c r="Q10" i="1"/>
  <c r="R10" i="1"/>
  <c r="O10" i="1"/>
  <c r="P10" i="1"/>
  <c r="M10" i="1"/>
  <c r="N10" i="1"/>
  <c r="K10" i="1"/>
  <c r="L10" i="1"/>
  <c r="I10" i="1"/>
  <c r="J10" i="1"/>
  <c r="G10" i="1"/>
  <c r="H10" i="1"/>
  <c r="J8" i="8"/>
  <c r="L8" i="8" s="1"/>
  <c r="K8" i="8"/>
  <c r="M8" i="8"/>
  <c r="K27" i="8"/>
  <c r="J27" i="8"/>
  <c r="L27" i="8" s="1"/>
  <c r="M27" i="8"/>
  <c r="M15" i="8"/>
  <c r="J15" i="8"/>
  <c r="L15" i="8" s="1"/>
  <c r="K15" i="8"/>
  <c r="K21" i="8"/>
  <c r="J21" i="8"/>
  <c r="L21" i="8" s="1"/>
  <c r="M21" i="8"/>
  <c r="J30" i="8"/>
  <c r="L30" i="8" s="1"/>
  <c r="K30" i="8"/>
  <c r="M30" i="8"/>
  <c r="M11" i="8"/>
  <c r="J11" i="8"/>
  <c r="L11" i="8" s="1"/>
  <c r="K11" i="8"/>
  <c r="J24" i="8"/>
  <c r="L24" i="8" s="1"/>
  <c r="K24" i="8"/>
  <c r="M24" i="8"/>
  <c r="K9" i="8"/>
  <c r="J9" i="8"/>
  <c r="L9" i="8" s="1"/>
  <c r="M9" i="8"/>
  <c r="K31" i="8"/>
  <c r="J31" i="8"/>
  <c r="L31" i="8" s="1"/>
  <c r="M31" i="8"/>
  <c r="K5" i="8"/>
  <c r="J5" i="8"/>
  <c r="L5" i="8" s="1"/>
  <c r="M5" i="8"/>
  <c r="K29" i="8"/>
  <c r="J29" i="8"/>
  <c r="L29" i="8" s="1"/>
  <c r="M29" i="8"/>
  <c r="K14" i="8"/>
  <c r="J14" i="8"/>
  <c r="L14" i="8" s="1"/>
  <c r="M14" i="8"/>
  <c r="M19" i="8"/>
  <c r="J19" i="8"/>
  <c r="L19" i="8" s="1"/>
  <c r="K19" i="8"/>
  <c r="K25" i="8"/>
  <c r="J25" i="8"/>
  <c r="L25" i="8" s="1"/>
  <c r="M25" i="8"/>
  <c r="K10" i="8"/>
  <c r="J10" i="8"/>
  <c r="L10" i="8" s="1"/>
  <c r="M10" i="8"/>
  <c r="K28" i="8"/>
  <c r="J28" i="8"/>
  <c r="L28" i="8" s="1"/>
  <c r="M28" i="8"/>
  <c r="K17" i="8"/>
  <c r="J17" i="8"/>
  <c r="L17" i="8" s="1"/>
  <c r="M17" i="8"/>
  <c r="K22" i="8"/>
  <c r="J22" i="8"/>
  <c r="L22" i="8" s="1"/>
  <c r="M22" i="8"/>
  <c r="K6" i="8"/>
  <c r="J6" i="8"/>
  <c r="L6" i="8" s="1"/>
  <c r="M6" i="8"/>
  <c r="J4" i="8"/>
  <c r="L4" i="8" s="1"/>
  <c r="K4" i="8"/>
  <c r="M4" i="8"/>
  <c r="K13" i="8"/>
  <c r="J13" i="8"/>
  <c r="L13" i="8" s="1"/>
  <c r="M13" i="8"/>
  <c r="J20" i="8"/>
  <c r="L20" i="8" s="1"/>
  <c r="K20" i="8"/>
  <c r="M20" i="8"/>
  <c r="K32" i="8"/>
  <c r="J32" i="8"/>
  <c r="L32" i="8" s="1"/>
  <c r="M32" i="8"/>
  <c r="J16" i="8"/>
  <c r="L16" i="8" s="1"/>
  <c r="K16" i="8"/>
  <c r="M16" i="8"/>
  <c r="J12" i="8"/>
  <c r="L12" i="8" s="1"/>
  <c r="K12" i="8"/>
  <c r="M12" i="8"/>
  <c r="J26" i="8"/>
  <c r="L26" i="8" s="1"/>
  <c r="K26" i="8"/>
  <c r="M26" i="8"/>
  <c r="K18" i="8"/>
  <c r="J18" i="8"/>
  <c r="L18" i="8" s="1"/>
  <c r="M18" i="8"/>
  <c r="M23" i="8"/>
  <c r="J23" i="8"/>
  <c r="L23" i="8" s="1"/>
  <c r="K23" i="8"/>
  <c r="M7" i="8"/>
  <c r="J7" i="8"/>
  <c r="L7" i="8" s="1"/>
  <c r="K7" i="8"/>
  <c r="K3" i="8"/>
  <c r="M3" i="8"/>
  <c r="J3" i="8"/>
  <c r="L3" i="8" s="1"/>
  <c r="J14" i="1" l="1"/>
  <c r="J16" i="1" s="1"/>
  <c r="H14" i="1"/>
  <c r="H19" i="1" s="1"/>
  <c r="L14" i="1"/>
  <c r="L16" i="1" s="1"/>
  <c r="N14" i="1"/>
  <c r="N16" i="1" s="1"/>
  <c r="O14" i="1"/>
  <c r="O19" i="1" s="1"/>
  <c r="M14" i="1"/>
  <c r="K14" i="1"/>
  <c r="I14" i="1"/>
  <c r="G14" i="1"/>
  <c r="J19" i="1" l="1"/>
  <c r="H16" i="1"/>
  <c r="L19" i="1"/>
  <c r="N19" i="1"/>
  <c r="M16" i="1"/>
  <c r="M19" i="1"/>
  <c r="K16" i="1"/>
  <c r="K19" i="1"/>
  <c r="I16" i="1"/>
  <c r="I19" i="1"/>
  <c r="G16" i="1"/>
  <c r="G19" i="1"/>
  <c r="P14" i="1"/>
  <c r="P19" i="1" s="1"/>
  <c r="O16" i="1"/>
  <c r="W103" i="8" l="1"/>
  <c r="W92" i="8"/>
  <c r="W83" i="8"/>
  <c r="Q14" i="1"/>
  <c r="Q19" i="1" s="1"/>
  <c r="P16" i="1"/>
  <c r="W104" i="8" l="1"/>
  <c r="W101" i="8"/>
  <c r="W77" i="8"/>
  <c r="W102" i="8"/>
  <c r="W94" i="8"/>
  <c r="W85" i="8"/>
  <c r="W89" i="8"/>
  <c r="W45" i="8"/>
  <c r="W87" i="8"/>
  <c r="W95" i="8"/>
  <c r="W79" i="8"/>
  <c r="W52" i="8"/>
  <c r="W38" i="8"/>
  <c r="W36" i="8"/>
  <c r="W18" i="8"/>
  <c r="W8" i="8"/>
  <c r="W6" i="8"/>
  <c r="W76" i="8"/>
  <c r="W65" i="8"/>
  <c r="W56" i="8"/>
  <c r="W39" i="8"/>
  <c r="W10" i="8"/>
  <c r="R14" i="1"/>
  <c r="R19" i="1" s="1"/>
  <c r="W3" i="8" s="1"/>
  <c r="Q16" i="1"/>
  <c r="W23" i="8"/>
  <c r="W27" i="8"/>
  <c r="W30" i="8"/>
  <c r="W16" i="8"/>
  <c r="W15" i="8"/>
  <c r="W26" i="8"/>
  <c r="W14" i="8"/>
  <c r="W68" i="8" l="1"/>
  <c r="W57" i="8"/>
  <c r="W34" i="8"/>
  <c r="W29" i="8"/>
  <c r="W7" i="8"/>
  <c r="W96" i="8"/>
  <c r="W42" i="8"/>
  <c r="W4" i="8"/>
  <c r="W32" i="8"/>
  <c r="W81" i="8"/>
  <c r="W69" i="8"/>
  <c r="W70" i="8"/>
  <c r="W53" i="8"/>
  <c r="W48" i="8"/>
  <c r="W51" i="8"/>
  <c r="W40" i="8"/>
  <c r="W5" i="8"/>
  <c r="S14" i="1"/>
  <c r="S19" i="1" s="1"/>
  <c r="R16" i="1"/>
  <c r="W19" i="8"/>
  <c r="W9" i="8"/>
  <c r="W21" i="8"/>
  <c r="W20" i="8"/>
  <c r="W25" i="8"/>
  <c r="W17" i="8"/>
  <c r="W22" i="8"/>
  <c r="W13" i="8"/>
  <c r="W28" i="8"/>
  <c r="W24" i="8"/>
  <c r="W31" i="8"/>
  <c r="T14" i="1" l="1"/>
  <c r="T19" i="1" s="1"/>
  <c r="S16" i="1"/>
  <c r="U14" i="1" l="1"/>
  <c r="U19" i="1" s="1"/>
  <c r="T16" i="1"/>
  <c r="V14" i="1" l="1"/>
  <c r="V19" i="1" s="1"/>
  <c r="U16" i="1"/>
  <c r="W14" i="1" l="1"/>
  <c r="W19" i="1" s="1"/>
  <c r="V16" i="1"/>
  <c r="X14" i="1" l="1"/>
  <c r="X19" i="1" s="1"/>
  <c r="W16" i="1"/>
  <c r="Y14" i="1" l="1"/>
  <c r="Y19" i="1" s="1"/>
  <c r="X16" i="1"/>
  <c r="Z14" i="1" l="1"/>
  <c r="Z19" i="1" s="1"/>
  <c r="Y16" i="1"/>
  <c r="AA14" i="1" l="1"/>
  <c r="AA19" i="1" s="1"/>
  <c r="Z16" i="1"/>
  <c r="AB14" i="1" l="1"/>
  <c r="AB19" i="1" s="1"/>
  <c r="AA16" i="1"/>
  <c r="AC14" i="1" l="1"/>
  <c r="AC19" i="1" s="1"/>
  <c r="AB16" i="1"/>
  <c r="AD14" i="1" l="1"/>
  <c r="AC16" i="1"/>
  <c r="AD16" i="1" l="1"/>
  <c r="AD19" i="1"/>
  <c r="W12" i="8"/>
  <c r="W11" i="8"/>
</calcChain>
</file>

<file path=xl/sharedStrings.xml><?xml version="1.0" encoding="utf-8"?>
<sst xmlns="http://schemas.openxmlformats.org/spreadsheetml/2006/main" count="1495" uniqueCount="240">
  <si>
    <t>SKU</t>
    <phoneticPr fontId="3" type="noConversion"/>
  </si>
  <si>
    <t>Forecast</t>
    <phoneticPr fontId="3" type="noConversion"/>
  </si>
  <si>
    <t>Forecast Revised</t>
    <phoneticPr fontId="3" type="noConversion"/>
  </si>
  <si>
    <t>Forecast Total</t>
    <phoneticPr fontId="3" type="noConversion"/>
  </si>
  <si>
    <t>Sales</t>
    <phoneticPr fontId="3" type="noConversion"/>
  </si>
  <si>
    <t>New PO-Net QTY</t>
    <phoneticPr fontId="3" type="noConversion"/>
  </si>
  <si>
    <t>New PO-Forced QTY</t>
    <phoneticPr fontId="3" type="noConversion"/>
  </si>
  <si>
    <t>Open PO</t>
    <phoneticPr fontId="3" type="noConversion"/>
  </si>
  <si>
    <t>Stock End Period</t>
    <phoneticPr fontId="3" type="noConversion"/>
  </si>
  <si>
    <t>Available Stock</t>
    <phoneticPr fontId="3" type="noConversion"/>
  </si>
  <si>
    <t>Shortage</t>
    <phoneticPr fontId="3" type="noConversion"/>
  </si>
  <si>
    <t>Last Date Sell</t>
    <phoneticPr fontId="3" type="noConversion"/>
  </si>
  <si>
    <t>DSI End Period</t>
    <phoneticPr fontId="3" type="noConversion"/>
  </si>
  <si>
    <t>SSL Stock</t>
    <phoneticPr fontId="3" type="noConversion"/>
  </si>
  <si>
    <t>TODAY DATE</t>
    <phoneticPr fontId="3" type="noConversion"/>
  </si>
  <si>
    <t>MONTH</t>
    <phoneticPr fontId="3" type="noConversion"/>
  </si>
  <si>
    <t>CAT</t>
  </si>
  <si>
    <t>SKU</t>
  </si>
  <si>
    <t>DSCRPTN</t>
  </si>
  <si>
    <t>UNIT EA</t>
  </si>
  <si>
    <t>TOOL</t>
  </si>
  <si>
    <t>Stock +/-</t>
    <phoneticPr fontId="3" type="noConversion"/>
  </si>
  <si>
    <t>NET QTY</t>
    <phoneticPr fontId="3" type="noConversion"/>
  </si>
  <si>
    <t>FORCED QTY</t>
    <phoneticPr fontId="3" type="noConversion"/>
  </si>
  <si>
    <t>EA/Case</t>
    <phoneticPr fontId="3" type="noConversion"/>
  </si>
  <si>
    <t>Case/Pallet</t>
    <phoneticPr fontId="3" type="noConversion"/>
  </si>
  <si>
    <t>Order MTH</t>
    <phoneticPr fontId="3" type="noConversion"/>
  </si>
  <si>
    <t>Shipment</t>
    <phoneticPr fontId="3" type="noConversion"/>
  </si>
  <si>
    <t>Country</t>
    <phoneticPr fontId="3" type="noConversion"/>
  </si>
  <si>
    <t>MOQ</t>
    <phoneticPr fontId="3" type="noConversion"/>
  </si>
  <si>
    <t>EA</t>
    <phoneticPr fontId="3" type="noConversion"/>
  </si>
  <si>
    <t>CASE</t>
    <phoneticPr fontId="3" type="noConversion"/>
  </si>
  <si>
    <t>PALLET</t>
    <phoneticPr fontId="3" type="noConversion"/>
  </si>
  <si>
    <t>CBM</t>
    <phoneticPr fontId="3" type="noConversion"/>
  </si>
  <si>
    <t>NET WEIGHT</t>
    <phoneticPr fontId="3" type="noConversion"/>
  </si>
  <si>
    <t xml:space="preserve">SKU </t>
    <phoneticPr fontId="3" type="noConversion"/>
  </si>
  <si>
    <t>Supplier Code</t>
    <phoneticPr fontId="3" type="noConversion"/>
  </si>
  <si>
    <t>Description</t>
    <phoneticPr fontId="3" type="noConversion"/>
  </si>
  <si>
    <t>NEW DSI</t>
    <phoneticPr fontId="3" type="noConversion"/>
  </si>
  <si>
    <t>DSI REQUESTED</t>
    <phoneticPr fontId="3" type="noConversion"/>
  </si>
  <si>
    <t>BU</t>
    <phoneticPr fontId="3" type="noConversion"/>
  </si>
  <si>
    <t>GENERAL</t>
    <phoneticPr fontId="3" type="noConversion"/>
  </si>
  <si>
    <t>BASIC</t>
    <phoneticPr fontId="3" type="noConversion"/>
  </si>
  <si>
    <t>STOCK</t>
    <phoneticPr fontId="3" type="noConversion"/>
  </si>
  <si>
    <t>LOGISTICS</t>
    <phoneticPr fontId="3" type="noConversion"/>
  </si>
  <si>
    <t>Transport</t>
    <phoneticPr fontId="3" type="noConversion"/>
  </si>
  <si>
    <t>IMPORT</t>
    <phoneticPr fontId="3" type="noConversion"/>
  </si>
  <si>
    <t>LEAD TIME</t>
    <phoneticPr fontId="3" type="noConversion"/>
  </si>
  <si>
    <t>PURCHASER INFORMATION</t>
    <phoneticPr fontId="3" type="noConversion"/>
  </si>
  <si>
    <t>Purchaser</t>
    <phoneticPr fontId="3" type="noConversion"/>
  </si>
  <si>
    <t>Purchase Group</t>
    <phoneticPr fontId="3" type="noConversion"/>
  </si>
  <si>
    <t>Category</t>
    <phoneticPr fontId="3" type="noConversion"/>
  </si>
  <si>
    <t>Hierarchy</t>
    <phoneticPr fontId="3" type="noConversion"/>
  </si>
  <si>
    <t>Sub Category</t>
    <phoneticPr fontId="3" type="noConversion"/>
  </si>
  <si>
    <t>Permanent Product</t>
    <phoneticPr fontId="3" type="noConversion"/>
  </si>
  <si>
    <t>Brand</t>
    <phoneticPr fontId="3" type="noConversion"/>
  </si>
  <si>
    <t>Main BU</t>
    <phoneticPr fontId="3" type="noConversion"/>
  </si>
  <si>
    <t>A/B/C</t>
    <phoneticPr fontId="3" type="noConversion"/>
  </si>
  <si>
    <t>Discontinue</t>
    <phoneticPr fontId="3" type="noConversion"/>
  </si>
  <si>
    <t>SKU CODE</t>
    <phoneticPr fontId="3" type="noConversion"/>
  </si>
  <si>
    <t>SUPPLIER CODE</t>
    <phoneticPr fontId="3" type="noConversion"/>
  </si>
  <si>
    <t>DESCRIPTION EN</t>
    <phoneticPr fontId="3" type="noConversion"/>
  </si>
  <si>
    <t>DESCRIPION CN</t>
    <phoneticPr fontId="3" type="noConversion"/>
  </si>
  <si>
    <t>Shelf Life Days</t>
    <phoneticPr fontId="3" type="noConversion"/>
  </si>
  <si>
    <t>Lead Time</t>
    <phoneticPr fontId="3" type="noConversion"/>
  </si>
  <si>
    <t>Safety Stock  DSI</t>
    <phoneticPr fontId="3" type="noConversion"/>
  </si>
  <si>
    <t>Safety Stock  QTY</t>
    <phoneticPr fontId="3" type="noConversion"/>
  </si>
  <si>
    <t>Minimum % Shelf Life</t>
    <phoneticPr fontId="3" type="noConversion"/>
  </si>
  <si>
    <t>MOQ</t>
    <phoneticPr fontId="3" type="noConversion"/>
  </si>
  <si>
    <t>EA/Case</t>
    <phoneticPr fontId="3" type="noConversion"/>
  </si>
  <si>
    <t>Case/Pallet</t>
    <phoneticPr fontId="3" type="noConversion"/>
  </si>
  <si>
    <t>EA/Pallet</t>
    <phoneticPr fontId="3" type="noConversion"/>
  </si>
  <si>
    <t>Pallet/20"</t>
    <phoneticPr fontId="3" type="noConversion"/>
  </si>
  <si>
    <t>Pallet/40'</t>
    <phoneticPr fontId="3" type="noConversion"/>
  </si>
  <si>
    <t>Case CBM</t>
    <phoneticPr fontId="3" type="noConversion"/>
  </si>
  <si>
    <t>CBM/Container</t>
    <phoneticPr fontId="3" type="noConversion"/>
  </si>
  <si>
    <t>Unit N.Weight</t>
    <phoneticPr fontId="3" type="noConversion"/>
  </si>
  <si>
    <t>Unit G.Weight</t>
    <phoneticPr fontId="3" type="noConversion"/>
  </si>
  <si>
    <t>INCOTERM</t>
    <phoneticPr fontId="3" type="noConversion"/>
  </si>
  <si>
    <t>Transportation Mode</t>
    <phoneticPr fontId="3" type="noConversion"/>
  </si>
  <si>
    <t>Temperature</t>
    <phoneticPr fontId="3" type="noConversion"/>
  </si>
  <si>
    <t>Container Country Origin</t>
    <phoneticPr fontId="3" type="noConversion"/>
  </si>
  <si>
    <t>CIQ Certificate</t>
    <phoneticPr fontId="3" type="noConversion"/>
  </si>
  <si>
    <t>Importation</t>
    <phoneticPr fontId="3" type="noConversion"/>
  </si>
  <si>
    <t>Labelling/Repacking</t>
    <phoneticPr fontId="3" type="noConversion"/>
  </si>
  <si>
    <t>Planning</t>
    <phoneticPr fontId="3" type="noConversion"/>
  </si>
  <si>
    <t>Transport</t>
    <phoneticPr fontId="3" type="noConversion"/>
  </si>
  <si>
    <t>Custon Clearance</t>
    <phoneticPr fontId="3" type="noConversion"/>
  </si>
  <si>
    <t>Total Days</t>
    <phoneticPr fontId="3" type="noConversion"/>
  </si>
  <si>
    <t>Purchasing Unit Price</t>
    <phoneticPr fontId="3" type="noConversion"/>
  </si>
  <si>
    <t>Unit Price</t>
    <phoneticPr fontId="3" type="noConversion"/>
  </si>
  <si>
    <t>Purchasing Unit Supplier</t>
    <phoneticPr fontId="3" type="noConversion"/>
  </si>
  <si>
    <t>Rounding Unit</t>
    <phoneticPr fontId="3" type="noConversion"/>
  </si>
  <si>
    <t>Lot Size</t>
    <phoneticPr fontId="3" type="noConversion"/>
  </si>
  <si>
    <t>PO NUMBER</t>
    <phoneticPr fontId="3" type="noConversion"/>
  </si>
  <si>
    <t>STOCK REQUESTED</t>
    <phoneticPr fontId="3" type="noConversion"/>
  </si>
  <si>
    <t>New PO-Order QTY</t>
    <phoneticPr fontId="3" type="noConversion"/>
  </si>
  <si>
    <t>Repacking</t>
    <phoneticPr fontId="3" type="noConversion"/>
  </si>
  <si>
    <t>1 EA &lt;-&gt; y EA</t>
    <phoneticPr fontId="3" type="noConversion"/>
  </si>
  <si>
    <t>y</t>
    <phoneticPr fontId="3" type="noConversion"/>
  </si>
  <si>
    <t>Repacking Need</t>
    <phoneticPr fontId="3" type="noConversion"/>
  </si>
  <si>
    <t>EMM0001</t>
  </si>
  <si>
    <t>EMM0002</t>
  </si>
  <si>
    <t>EMM0004</t>
  </si>
  <si>
    <t>EMM0005</t>
  </si>
  <si>
    <t/>
  </si>
  <si>
    <t>EMM0014A</t>
  </si>
  <si>
    <t>EMM0014ASP3</t>
  </si>
  <si>
    <t>EMM0014SP1</t>
  </si>
  <si>
    <t>EMM0014SP2</t>
  </si>
  <si>
    <t>EMM0015A</t>
  </si>
  <si>
    <t>EMM0015ASP2</t>
  </si>
  <si>
    <t>EMM0015SP1</t>
  </si>
  <si>
    <t>EMM0016A</t>
  </si>
  <si>
    <t>EMM0016SP2</t>
  </si>
  <si>
    <t>EMM0017A</t>
  </si>
  <si>
    <t>EMM0017SP1</t>
  </si>
  <si>
    <t>EMM0017SP2</t>
  </si>
  <si>
    <t>EMM0018A</t>
  </si>
  <si>
    <t>EMM0018SP2</t>
  </si>
  <si>
    <t>EMM0019A</t>
  </si>
  <si>
    <t>EMM0019SP2</t>
  </si>
  <si>
    <t>EMM0021</t>
  </si>
  <si>
    <t>EMM0021SP1</t>
  </si>
  <si>
    <t>EMM0022</t>
  </si>
  <si>
    <t>EMM0022SP1</t>
  </si>
  <si>
    <t>EMM0025</t>
  </si>
  <si>
    <t>EMM0027</t>
  </si>
  <si>
    <t>EMM0034A</t>
  </si>
  <si>
    <t>EMM0034ASP2</t>
  </si>
  <si>
    <t>EMM0035A</t>
  </si>
  <si>
    <t>EMM0035ASP2</t>
  </si>
  <si>
    <t>EMM0035SP1</t>
  </si>
  <si>
    <t>EMM0037</t>
  </si>
  <si>
    <t>EMM0037SP1</t>
  </si>
  <si>
    <t>EMM0041</t>
  </si>
  <si>
    <t>EMM0041SP1</t>
  </si>
  <si>
    <t>EMM0041SP2</t>
  </si>
  <si>
    <t>EMM0042</t>
  </si>
  <si>
    <t>EMM0042SP1</t>
  </si>
  <si>
    <t>EMM0042SP2</t>
  </si>
  <si>
    <t>EMM0042SP3</t>
  </si>
  <si>
    <t>EMM0042SP6</t>
  </si>
  <si>
    <t>EMM0043</t>
  </si>
  <si>
    <t>EMM0043SP1</t>
  </si>
  <si>
    <t>EMM0043SP2</t>
  </si>
  <si>
    <t>EMM0044</t>
  </si>
  <si>
    <t>EMM0045</t>
  </si>
  <si>
    <t>EMM0046</t>
  </si>
  <si>
    <t>EMM0047SP1</t>
  </si>
  <si>
    <t>EMM0047SP2</t>
  </si>
  <si>
    <t>EMM0048SP1</t>
  </si>
  <si>
    <t>EMM0048SP2</t>
  </si>
  <si>
    <t>EMM0049</t>
  </si>
  <si>
    <t>EMM0050</t>
  </si>
  <si>
    <t>EMM0050SP1</t>
  </si>
  <si>
    <t>EMM0051</t>
  </si>
  <si>
    <t>EMM0051SP1</t>
  </si>
  <si>
    <t>EMM0052</t>
  </si>
  <si>
    <t>EMM0052SP1</t>
  </si>
  <si>
    <t>EMM0053</t>
  </si>
  <si>
    <t>EMM0055</t>
  </si>
  <si>
    <t>EMM0055SP2</t>
  </si>
  <si>
    <t>EMM0056</t>
  </si>
  <si>
    <t>EMM0056SP2</t>
  </si>
  <si>
    <t>EMM0056SP3</t>
  </si>
  <si>
    <t>EMM0057</t>
  </si>
  <si>
    <t>EMM0057SP2</t>
  </si>
  <si>
    <t>EMM0058</t>
  </si>
  <si>
    <t>EMM0MIXSP1</t>
  </si>
  <si>
    <t>EMM0MIXSP2</t>
  </si>
  <si>
    <t>EMM0MIXSP3</t>
  </si>
  <si>
    <t>EMM0MIXSP4</t>
  </si>
  <si>
    <t>Material</t>
  </si>
  <si>
    <t>Plnt</t>
  </si>
  <si>
    <t>Created</t>
  </si>
  <si>
    <t>Created by</t>
  </si>
  <si>
    <t>DeID</t>
  </si>
  <si>
    <t>DID</t>
  </si>
  <si>
    <t>BUn</t>
  </si>
  <si>
    <t>Valid to</t>
  </si>
  <si>
    <t>Valid From</t>
  </si>
  <si>
    <t>Component</t>
  </si>
  <si>
    <t>Un</t>
  </si>
  <si>
    <t>P010</t>
  </si>
  <si>
    <t>SC-1</t>
  </si>
  <si>
    <t>EA</t>
  </si>
  <si>
    <t>RM00067</t>
  </si>
  <si>
    <t>RM00068</t>
  </si>
  <si>
    <t>RM00048</t>
  </si>
  <si>
    <t>RM00049</t>
  </si>
  <si>
    <t>EMM0042SP4</t>
  </si>
  <si>
    <t>RM00069</t>
  </si>
  <si>
    <t>RM00047</t>
  </si>
  <si>
    <t>EMM0042SP5</t>
  </si>
  <si>
    <t>RM00089</t>
  </si>
  <si>
    <t>RM00031</t>
  </si>
  <si>
    <t>RM00032</t>
  </si>
  <si>
    <t>RM00212</t>
  </si>
  <si>
    <t>RM00033</t>
  </si>
  <si>
    <t>RM00034</t>
  </si>
  <si>
    <t>RM00215</t>
  </si>
  <si>
    <t>EMM0046SP1</t>
  </si>
  <si>
    <t>RM00163</t>
  </si>
  <si>
    <t>EMM0047</t>
  </si>
  <si>
    <t>EMM0048</t>
  </si>
  <si>
    <t>RM00180</t>
  </si>
  <si>
    <t>RM00182</t>
  </si>
  <si>
    <t>RM00181</t>
  </si>
  <si>
    <t>RM00213</t>
  </si>
  <si>
    <t>RM00214</t>
  </si>
  <si>
    <t>RM00219</t>
  </si>
  <si>
    <t>RM00218</t>
  </si>
  <si>
    <t>EMM0037SP2</t>
  </si>
  <si>
    <t>ADAM.ZHOU</t>
  </si>
  <si>
    <t>RM00275</t>
  </si>
  <si>
    <t>RM00274</t>
  </si>
  <si>
    <t>RM00297</t>
  </si>
  <si>
    <t>RM00296</t>
  </si>
  <si>
    <t>WEND.ZHANG</t>
  </si>
  <si>
    <t>RM00300</t>
  </si>
  <si>
    <t>RM00301</t>
  </si>
  <si>
    <t>RM00302</t>
  </si>
  <si>
    <t>RM00303</t>
  </si>
  <si>
    <t>RM00336</t>
  </si>
  <si>
    <t>RM00337</t>
  </si>
  <si>
    <t>EMM0014SP4</t>
  </si>
  <si>
    <t>RM00369</t>
  </si>
  <si>
    <t>RM00370</t>
  </si>
  <si>
    <t>RM00371</t>
  </si>
  <si>
    <t>RM00372</t>
  </si>
  <si>
    <t>EMM0042SP5</t>
    <phoneticPr fontId="3" type="noConversion"/>
  </si>
  <si>
    <t>(空白)</t>
  </si>
  <si>
    <t>sku</t>
    <phoneticPr fontId="3" type="noConversion"/>
  </si>
  <si>
    <t>ssl</t>
    <phoneticPr fontId="3" type="noConversion"/>
  </si>
  <si>
    <t>Base QTY</t>
    <phoneticPr fontId="3" type="noConversion"/>
  </si>
  <si>
    <t>QTY</t>
    <phoneticPr fontId="3" type="noConversion"/>
  </si>
  <si>
    <t>EMM0001</t>
    <phoneticPr fontId="3" type="noConversion"/>
  </si>
  <si>
    <t>Laste Date Sell</t>
    <phoneticPr fontId="3" type="noConversion"/>
  </si>
  <si>
    <t>EMM0014ASP3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</si>
</sst>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 * #,##0.00_ ;_ * \-#,##0.00_ ;_ * &quot;-&quot;??_ ;_ @_ "/>
    <numFmt numFmtId="177" formatCode="[$-409]mmm\-yy;@"/>
    <numFmt numFmtId="178" formatCode="#,##0_ "/>
    <numFmt numFmtId="179" formatCode="0_ "/>
    <numFmt numFmtId="180" formatCode="0.0_ "/>
    <numFmt numFmtId="181" formatCode="_([$€-2]\ * #,##0.00_);_([$€-2]\ * \(#,##0.00\);_([$€-2]\ * &quot;-&quot;??_);_(@_)"/>
    <numFmt numFmtId="182" formatCode="0_);[Red]\(0\)"/>
  </numFmts>
  <fonts count="28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name val="Calibri"/>
      <family val="2"/>
    </font>
    <font>
      <sz val="9"/>
      <name val="宋体"/>
      <family val="2"/>
      <charset val="134"/>
      <scheme val="minor"/>
    </font>
    <font>
      <b/>
      <sz val="11"/>
      <color theme="0"/>
      <name val="Calibri"/>
      <family val="2"/>
    </font>
    <font>
      <b/>
      <sz val="16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宋体"/>
      <family val="3"/>
      <charset val="134"/>
      <scheme val="minor"/>
    </font>
    <font>
      <b/>
      <sz val="12"/>
      <color theme="1"/>
      <name val="Calibri"/>
      <family val="2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8"/>
      <name val="Arial"/>
      <family val="2"/>
    </font>
    <font>
      <sz val="14"/>
      <name val="Calibri"/>
      <family val="2"/>
    </font>
    <font>
      <b/>
      <sz val="9"/>
      <color theme="1"/>
      <name val="Arial"/>
      <family val="2"/>
    </font>
    <font>
      <sz val="11"/>
      <color rgb="FF000000"/>
      <name val="宋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769DCC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D5A7"/>
        <bgColor indexed="64"/>
      </patternFill>
    </fill>
    <fill>
      <patternFill patternType="solid">
        <fgColor rgb="FFA5EDAC"/>
        <bgColor indexed="64"/>
      </patternFill>
    </fill>
    <fill>
      <patternFill patternType="solid">
        <fgColor rgb="FFA5EDAC"/>
        <bgColor theme="4" tint="0.79998168889431442"/>
      </patternFill>
    </fill>
    <fill>
      <patternFill patternType="solid">
        <fgColor rgb="FFFFFF8F"/>
        <bgColor indexed="64"/>
      </patternFill>
    </fill>
    <fill>
      <patternFill patternType="solid">
        <fgColor rgb="FFFFFF8F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CC5C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5D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indexed="49"/>
      </patternFill>
    </fill>
    <fill>
      <patternFill patternType="solid">
        <fgColor indexed="1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</borders>
  <cellStyleXfs count="5">
    <xf numFmtId="0" fontId="0" fillId="0" borderId="0">
      <alignment vertical="center"/>
    </xf>
    <xf numFmtId="0" fontId="20" fillId="0" borderId="0"/>
    <xf numFmtId="176" fontId="1" fillId="0" borderId="0" applyFont="0" applyFill="0" applyBorder="0" applyAlignment="0" applyProtection="0">
      <alignment vertical="center"/>
    </xf>
    <xf numFmtId="181" fontId="20" fillId="0" borderId="0">
      <alignment vertical="center"/>
    </xf>
    <xf numFmtId="4" fontId="24" fillId="20" borderId="34" applyNumberFormat="0" applyProtection="0">
      <alignment horizontal="left" vertical="center" indent="1"/>
    </xf>
  </cellStyleXfs>
  <cellXfs count="139">
    <xf numFmtId="0" fontId="0" fillId="0" borderId="0" xfId="0">
      <alignment vertical="center"/>
    </xf>
    <xf numFmtId="0" fontId="2" fillId="3" borderId="2" xfId="0" applyFont="1" applyFill="1" applyBorder="1" applyAlignment="1" applyProtection="1">
      <alignment horizontal="center" vertical="center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4" fillId="4" borderId="3" xfId="0" applyFont="1" applyFill="1" applyBorder="1" applyAlignment="1" applyProtection="1">
      <alignment horizontal="center" vertical="center"/>
      <protection hidden="1"/>
    </xf>
    <xf numFmtId="177" fontId="5" fillId="5" borderId="4" xfId="0" applyNumberFormat="1" applyFont="1" applyFill="1" applyBorder="1" applyAlignment="1" applyProtection="1">
      <alignment horizontal="center" vertical="center"/>
      <protection hidden="1"/>
    </xf>
    <xf numFmtId="0" fontId="6" fillId="6" borderId="2" xfId="0" applyFont="1" applyFill="1" applyBorder="1" applyProtection="1">
      <alignment vertical="center"/>
      <protection hidden="1"/>
    </xf>
    <xf numFmtId="0" fontId="6" fillId="0" borderId="6" xfId="0" applyFont="1" applyBorder="1" applyProtection="1">
      <alignment vertical="center"/>
      <protection hidden="1"/>
    </xf>
    <xf numFmtId="178" fontId="6" fillId="2" borderId="2" xfId="0" applyNumberFormat="1" applyFont="1" applyFill="1" applyBorder="1" applyAlignment="1" applyProtection="1">
      <alignment horizontal="center" vertical="center"/>
      <protection hidden="1"/>
    </xf>
    <xf numFmtId="178" fontId="6" fillId="6" borderId="2" xfId="0" applyNumberFormat="1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Protection="1">
      <alignment vertical="center"/>
      <protection hidden="1"/>
    </xf>
    <xf numFmtId="0" fontId="6" fillId="7" borderId="2" xfId="0" applyFont="1" applyFill="1" applyBorder="1" applyProtection="1">
      <alignment vertical="center"/>
      <protection hidden="1"/>
    </xf>
    <xf numFmtId="178" fontId="2" fillId="2" borderId="2" xfId="0" applyNumberFormat="1" applyFont="1" applyFill="1" applyBorder="1" applyAlignment="1" applyProtection="1">
      <alignment horizontal="center" vertical="center"/>
      <protection hidden="1"/>
    </xf>
    <xf numFmtId="0" fontId="2" fillId="8" borderId="2" xfId="0" applyFont="1" applyFill="1" applyBorder="1" applyProtection="1">
      <alignment vertical="center"/>
      <protection hidden="1"/>
    </xf>
    <xf numFmtId="178" fontId="4" fillId="2" borderId="2" xfId="0" applyNumberFormat="1" applyFont="1" applyFill="1" applyBorder="1" applyAlignment="1" applyProtection="1">
      <alignment horizontal="center" vertical="center"/>
      <protection hidden="1"/>
    </xf>
    <xf numFmtId="178" fontId="7" fillId="2" borderId="2" xfId="0" applyNumberFormat="1" applyFont="1" applyFill="1" applyBorder="1" applyAlignment="1" applyProtection="1">
      <alignment horizontal="center" vertical="center"/>
      <protection hidden="1"/>
    </xf>
    <xf numFmtId="0" fontId="8" fillId="9" borderId="2" xfId="0" applyFont="1" applyFill="1" applyBorder="1" applyProtection="1">
      <alignment vertical="center"/>
      <protection hidden="1"/>
    </xf>
    <xf numFmtId="178" fontId="8" fillId="10" borderId="2" xfId="0" applyNumberFormat="1" applyFont="1" applyFill="1" applyBorder="1" applyAlignment="1" applyProtection="1">
      <alignment horizontal="center" vertical="center"/>
      <protection hidden="1"/>
    </xf>
    <xf numFmtId="178" fontId="8" fillId="9" borderId="2" xfId="0" applyNumberFormat="1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Protection="1">
      <alignment vertical="center"/>
      <protection hidden="1"/>
    </xf>
    <xf numFmtId="178" fontId="2" fillId="12" borderId="2" xfId="0" applyNumberFormat="1" applyFont="1" applyFill="1" applyBorder="1" applyAlignment="1" applyProtection="1">
      <alignment horizontal="center" vertical="center"/>
      <protection hidden="1"/>
    </xf>
    <xf numFmtId="178" fontId="2" fillId="6" borderId="2" xfId="0" applyNumberFormat="1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179" fontId="9" fillId="2" borderId="2" xfId="0" applyNumberFormat="1" applyFont="1" applyFill="1" applyBorder="1" applyAlignment="1" applyProtection="1">
      <alignment horizontal="center" vertical="center"/>
      <protection hidden="1"/>
    </xf>
    <xf numFmtId="177" fontId="2" fillId="2" borderId="2" xfId="0" applyNumberFormat="1" applyFont="1" applyFill="1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14" fontId="11" fillId="0" borderId="2" xfId="0" applyNumberFormat="1" applyFont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3" fillId="14" borderId="19" xfId="0" applyFont="1" applyFill="1" applyBorder="1" applyAlignment="1">
      <alignment horizontal="center" vertical="center"/>
    </xf>
    <xf numFmtId="0" fontId="13" fillId="15" borderId="19" xfId="0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/>
    </xf>
    <xf numFmtId="38" fontId="12" fillId="0" borderId="9" xfId="0" applyNumberFormat="1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/>
    </xf>
    <xf numFmtId="0" fontId="13" fillId="15" borderId="8" xfId="0" applyFont="1" applyFill="1" applyBorder="1" applyAlignment="1">
      <alignment horizontal="center" vertical="center"/>
    </xf>
    <xf numFmtId="0" fontId="12" fillId="0" borderId="21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180" fontId="15" fillId="0" borderId="25" xfId="0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38" fontId="14" fillId="0" borderId="26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178" fontId="16" fillId="0" borderId="0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0" xfId="0" applyFont="1" applyBorder="1">
      <alignment vertical="center"/>
    </xf>
    <xf numFmtId="0" fontId="0" fillId="0" borderId="2" xfId="0" applyBorder="1">
      <alignment vertical="center"/>
    </xf>
    <xf numFmtId="0" fontId="8" fillId="6" borderId="0" xfId="0" applyFont="1" applyFill="1" applyBorder="1" applyAlignment="1">
      <alignment horizontal="center" vertical="center"/>
    </xf>
    <xf numFmtId="177" fontId="21" fillId="17" borderId="8" xfId="0" applyNumberFormat="1" applyFont="1" applyFill="1" applyBorder="1" applyAlignment="1">
      <alignment horizontal="center" vertical="center"/>
    </xf>
    <xf numFmtId="177" fontId="21" fillId="17" borderId="7" xfId="0" applyNumberFormat="1" applyFont="1" applyFill="1" applyBorder="1" applyAlignment="1">
      <alignment horizontal="center" vertical="center"/>
    </xf>
    <xf numFmtId="177" fontId="21" fillId="6" borderId="8" xfId="0" applyNumberFormat="1" applyFont="1" applyFill="1" applyBorder="1" applyAlignment="1">
      <alignment horizontal="center" vertical="center"/>
    </xf>
    <xf numFmtId="177" fontId="21" fillId="6" borderId="7" xfId="0" applyNumberFormat="1" applyFont="1" applyFill="1" applyBorder="1" applyAlignment="1">
      <alignment horizontal="center" vertical="center"/>
    </xf>
    <xf numFmtId="177" fontId="21" fillId="13" borderId="7" xfId="0" applyNumberFormat="1" applyFont="1" applyFill="1" applyBorder="1" applyAlignment="1">
      <alignment horizontal="center" vertical="center"/>
    </xf>
    <xf numFmtId="177" fontId="15" fillId="13" borderId="7" xfId="0" applyNumberFormat="1" applyFont="1" applyFill="1" applyBorder="1" applyAlignment="1">
      <alignment horizontal="center" vertical="center"/>
    </xf>
    <xf numFmtId="177" fontId="16" fillId="3" borderId="15" xfId="0" applyNumberFormat="1" applyFont="1" applyFill="1" applyBorder="1" applyAlignment="1">
      <alignment horizontal="center" vertical="center"/>
    </xf>
    <xf numFmtId="177" fontId="22" fillId="18" borderId="15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178" fontId="14" fillId="0" borderId="29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6" xfId="0" applyFont="1" applyFill="1" applyBorder="1" applyProtection="1">
      <alignment vertical="center"/>
      <protection hidden="1"/>
    </xf>
    <xf numFmtId="0" fontId="6" fillId="16" borderId="6" xfId="0" applyFont="1" applyFill="1" applyBorder="1" applyProtection="1">
      <alignment vertical="center"/>
      <protection hidden="1"/>
    </xf>
    <xf numFmtId="0" fontId="0" fillId="19" borderId="2" xfId="0" applyFill="1" applyBorder="1" applyAlignment="1">
      <alignment vertical="top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3" fontId="0" fillId="0" borderId="0" xfId="0" applyNumberFormat="1" applyAlignment="1">
      <alignment horizontal="right" vertical="top"/>
    </xf>
    <xf numFmtId="0" fontId="2" fillId="3" borderId="6" xfId="0" applyFont="1" applyFill="1" applyBorder="1" applyAlignment="1" applyProtection="1">
      <alignment horizontal="center" vertical="center"/>
      <protection hidden="1"/>
    </xf>
    <xf numFmtId="177" fontId="2" fillId="2" borderId="6" xfId="0" applyNumberFormat="1" applyFont="1" applyFill="1" applyBorder="1" applyAlignment="1" applyProtection="1">
      <alignment horizontal="center" vertical="center"/>
      <protection hidden="1"/>
    </xf>
    <xf numFmtId="0" fontId="0" fillId="16" borderId="0" xfId="0" applyFill="1">
      <alignment vertical="center"/>
    </xf>
    <xf numFmtId="0" fontId="19" fillId="6" borderId="2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2" fillId="13" borderId="2" xfId="0" applyFont="1" applyFill="1" applyBorder="1" applyProtection="1">
      <alignment vertical="center"/>
      <protection hidden="1"/>
    </xf>
    <xf numFmtId="0" fontId="2" fillId="0" borderId="6" xfId="0" applyFont="1" applyBorder="1" applyProtection="1">
      <alignment vertical="center"/>
      <protection hidden="1"/>
    </xf>
    <xf numFmtId="179" fontId="25" fillId="2" borderId="2" xfId="0" applyNumberFormat="1" applyFont="1" applyFill="1" applyBorder="1" applyAlignment="1" applyProtection="1">
      <alignment horizontal="center" vertical="center"/>
      <protection hidden="1"/>
    </xf>
    <xf numFmtId="14" fontId="26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8" fillId="6" borderId="2" xfId="0" applyFont="1" applyFill="1" applyBorder="1" applyAlignment="1">
      <alignment horizontal="center" vertical="center" wrapText="1"/>
    </xf>
    <xf numFmtId="0" fontId="19" fillId="13" borderId="2" xfId="0" applyFont="1" applyFill="1" applyBorder="1" applyAlignment="1">
      <alignment horizontal="center" vertical="center" wrapText="1"/>
    </xf>
    <xf numFmtId="182" fontId="0" fillId="0" borderId="0" xfId="0" applyNumberFormat="1">
      <alignment vertical="center"/>
    </xf>
    <xf numFmtId="14" fontId="23" fillId="5" borderId="4" xfId="0" applyNumberFormat="1" applyFont="1" applyFill="1" applyBorder="1" applyAlignment="1" applyProtection="1">
      <alignment horizontal="center" vertical="center"/>
      <protection hidden="1"/>
    </xf>
    <xf numFmtId="0" fontId="17" fillId="16" borderId="2" xfId="0" applyFont="1" applyFill="1" applyBorder="1" applyAlignment="1">
      <alignment horizontal="center" vertical="center" wrapText="1"/>
    </xf>
    <xf numFmtId="38" fontId="17" fillId="16" borderId="2" xfId="0" applyNumberFormat="1" applyFont="1" applyFill="1" applyBorder="1" applyAlignment="1">
      <alignment horizontal="center" vertical="center" wrapText="1"/>
    </xf>
    <xf numFmtId="0" fontId="17" fillId="6" borderId="2" xfId="0" applyFont="1" applyFill="1" applyBorder="1" applyAlignment="1">
      <alignment horizontal="center" vertical="center" wrapText="1"/>
    </xf>
    <xf numFmtId="0" fontId="0" fillId="21" borderId="2" xfId="0" applyFill="1" applyBorder="1" applyAlignment="1">
      <alignment vertical="top"/>
    </xf>
    <xf numFmtId="14" fontId="0" fillId="21" borderId="2" xfId="0" applyNumberFormat="1" applyFill="1" applyBorder="1" applyAlignment="1">
      <alignment horizontal="right" vertical="top"/>
    </xf>
    <xf numFmtId="3" fontId="0" fillId="21" borderId="2" xfId="0" applyNumberFormat="1" applyFill="1" applyBorder="1" applyAlignment="1">
      <alignment horizontal="right" vertical="top"/>
    </xf>
    <xf numFmtId="0" fontId="0" fillId="16" borderId="0" xfId="0" applyFill="1" applyAlignment="1">
      <alignment vertical="top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12" fillId="6" borderId="2" xfId="0" applyFont="1" applyFill="1" applyBorder="1" applyAlignment="1">
      <alignment horizontal="center" vertical="center"/>
    </xf>
    <xf numFmtId="178" fontId="16" fillId="6" borderId="2" xfId="0" applyNumberFormat="1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0" fillId="19" borderId="5" xfId="0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top"/>
    </xf>
    <xf numFmtId="0" fontId="0" fillId="19" borderId="2" xfId="0" applyFill="1" applyBorder="1" applyAlignment="1">
      <alignment horizontal="left" vertical="top"/>
    </xf>
    <xf numFmtId="0" fontId="0" fillId="6" borderId="0" xfId="0" applyFill="1" applyAlignment="1">
      <alignment horizontal="center" vertical="center"/>
    </xf>
    <xf numFmtId="182" fontId="0" fillId="6" borderId="0" xfId="0" applyNumberFormat="1" applyFill="1">
      <alignment vertical="center"/>
    </xf>
    <xf numFmtId="0" fontId="0" fillId="6" borderId="0" xfId="0" applyFill="1">
      <alignment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2" fillId="2" borderId="4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5" xfId="0" applyFont="1" applyFill="1" applyBorder="1" applyAlignment="1" applyProtection="1">
      <alignment horizontal="center" vertical="center" wrapText="1"/>
      <protection hidden="1"/>
    </xf>
    <xf numFmtId="0" fontId="2" fillId="2" borderId="4" xfId="0" applyFont="1" applyFill="1" applyBorder="1" applyAlignment="1" applyProtection="1">
      <alignment horizontal="center" vertical="center" wrapText="1"/>
      <protection hidden="1"/>
    </xf>
    <xf numFmtId="0" fontId="2" fillId="2" borderId="32" xfId="0" applyFont="1" applyFill="1" applyBorder="1" applyAlignment="1" applyProtection="1">
      <alignment horizontal="center" vertical="center"/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33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2" borderId="31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  <xf numFmtId="0" fontId="8" fillId="13" borderId="10" xfId="0" applyFont="1" applyFill="1" applyBorder="1" applyAlignment="1">
      <alignment horizontal="center" vertical="center"/>
    </xf>
    <xf numFmtId="0" fontId="8" fillId="13" borderId="11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</cellXfs>
  <cellStyles count="5">
    <cellStyle name="Comma 2" xfId="2"/>
    <cellStyle name="Normal" xfId="0" builtinId="0"/>
    <cellStyle name="Normal 2" xfId="1"/>
    <cellStyle name="Normal 6" xfId="3"/>
    <cellStyle name="SAPBEXstdItem" xfId="4"/>
  </cellStyles>
  <dxfs count="22"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A5EBAC"/>
        </patternFill>
      </fill>
    </dxf>
    <dxf>
      <font>
        <b/>
        <i val="0"/>
        <color theme="0"/>
      </font>
      <fill>
        <patternFill>
          <bgColor rgb="FFFF6161"/>
        </patternFill>
      </fill>
    </dxf>
    <dxf>
      <font>
        <color auto="1"/>
      </font>
      <fill>
        <patternFill>
          <bgColor rgb="FFA5EBAC"/>
        </patternFill>
      </fill>
    </dxf>
    <dxf>
      <font>
        <b/>
        <i val="0"/>
        <color theme="0"/>
      </font>
      <fill>
        <patternFill>
          <bgColor rgb="FFFF6161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rgb="FF00CC00"/>
      </font>
      <fill>
        <patternFill>
          <bgColor theme="0"/>
        </patternFill>
      </fill>
    </dxf>
    <dxf>
      <font>
        <b/>
        <i val="0"/>
        <strike val="0"/>
        <color auto="1"/>
      </font>
      <fill>
        <patternFill>
          <bgColor rgb="FFFF7D7D"/>
        </patternFill>
      </fill>
    </dxf>
    <dxf>
      <font>
        <color auto="1"/>
      </font>
      <fill>
        <patternFill>
          <bgColor rgb="FFA5EBAC"/>
        </patternFill>
      </fill>
    </dxf>
    <dxf>
      <font>
        <b/>
        <i val="0"/>
        <color theme="0"/>
      </font>
      <fill>
        <patternFill>
          <bgColor rgb="FFFF616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rgb="FF00CC00"/>
      </font>
      <fill>
        <patternFill>
          <bgColor theme="0"/>
        </patternFill>
      </fill>
    </dxf>
    <dxf>
      <font>
        <b/>
        <i val="0"/>
        <strike val="0"/>
        <color auto="1"/>
      </font>
      <fill>
        <patternFill>
          <bgColor rgb="FFFF7D7D"/>
        </patternFill>
      </fill>
    </dxf>
    <dxf>
      <font>
        <color theme="1"/>
      </font>
      <fill>
        <patternFill>
          <bgColor rgb="FFFDE9D9"/>
        </patternFill>
      </fill>
    </dxf>
    <dxf>
      <font>
        <color theme="1"/>
      </font>
      <fill>
        <patternFill>
          <bgColor rgb="FFFDD5A7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28575</xdr:rowOff>
        </xdr:from>
        <xdr:to>
          <xdr:col>2</xdr:col>
          <xdr:colOff>1095375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New Pipeline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0</xdr:row>
          <xdr:rowOff>19050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NetQTY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9525</xdr:rowOff>
        </xdr:from>
        <xdr:to>
          <xdr:col>14</xdr:col>
          <xdr:colOff>638175</xdr:colOff>
          <xdr:row>0</xdr:row>
          <xdr:rowOff>552450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 Net 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0</xdr:row>
          <xdr:rowOff>9525</xdr:rowOff>
        </xdr:from>
        <xdr:to>
          <xdr:col>15</xdr:col>
          <xdr:colOff>619125</xdr:colOff>
          <xdr:row>0</xdr:row>
          <xdr:rowOff>552450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 Forced QTY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1</xdr:col>
          <xdr:colOff>19050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New Pipeline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0</xdr:row>
          <xdr:rowOff>28575</xdr:rowOff>
        </xdr:from>
        <xdr:to>
          <xdr:col>16</xdr:col>
          <xdr:colOff>695325</xdr:colOff>
          <xdr:row>0</xdr:row>
          <xdr:rowOff>714375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0</xdr:row>
          <xdr:rowOff>19050</xdr:rowOff>
        </xdr:from>
        <xdr:to>
          <xdr:col>16</xdr:col>
          <xdr:colOff>9525</xdr:colOff>
          <xdr:row>0</xdr:row>
          <xdr:rowOff>733425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0"/>
  <sheetViews>
    <sheetView tabSelected="1" zoomScale="70" zoomScaleNormal="70" workbookViewId="0">
      <selection activeCell="O20" sqref="O20"/>
    </sheetView>
  </sheetViews>
  <sheetFormatPr defaultRowHeight="13.5" x14ac:dyDescent="0.3"/>
  <cols>
    <col min="1" max="1" width="6.59765625" customWidth="1"/>
    <col min="2" max="2" width="7.265625" customWidth="1"/>
    <col min="3" max="3" width="15.86328125" customWidth="1"/>
    <col min="4" max="4" width="9" customWidth="1"/>
    <col min="5" max="5" width="18.73046875" bestFit="1" customWidth="1"/>
    <col min="6" max="6" width="9.86328125" hidden="1" customWidth="1"/>
    <col min="7" max="8" width="9.1328125" customWidth="1"/>
    <col min="9" max="9" width="10.1328125" customWidth="1"/>
    <col min="10" max="10" width="9.1328125" customWidth="1"/>
    <col min="11" max="11" width="10.3984375" customWidth="1"/>
    <col min="12" max="13" width="9.1328125" customWidth="1"/>
    <col min="14" max="14" width="9.73046875" customWidth="1"/>
    <col min="17" max="17" width="10" bestFit="1" customWidth="1"/>
    <col min="21" max="21" width="10.1328125" customWidth="1"/>
    <col min="23" max="23" width="10.3984375" bestFit="1" customWidth="1"/>
    <col min="26" max="26" width="9.73046875" bestFit="1" customWidth="1"/>
    <col min="29" max="29" width="10" bestFit="1" customWidth="1"/>
  </cols>
  <sheetData>
    <row r="1" spans="1:30" ht="44.65" customHeight="1" x14ac:dyDescent="0.3">
      <c r="A1" s="26" t="s">
        <v>14</v>
      </c>
      <c r="B1" s="27">
        <f ca="1">NOW()</f>
        <v>43003.671831828702</v>
      </c>
    </row>
    <row r="2" spans="1:30" ht="23.25" customHeight="1" x14ac:dyDescent="0.3">
      <c r="A2" s="26" t="s">
        <v>15</v>
      </c>
      <c r="B2" s="27">
        <f ca="1">DATE(YEAR(B1),MONTH(B1),DAY(1))</f>
        <v>42979</v>
      </c>
    </row>
    <row r="5" spans="1:30" ht="30.4" customHeight="1" x14ac:dyDescent="0.3">
      <c r="A5" s="122" t="e">
        <f>INDEX(MASTERDATA!$AF$3:$AF$302,MATCH(BRAND!C6,MASTERDATA!$L$3:$L$302,0))</f>
        <v>#N/A</v>
      </c>
      <c r="B5" s="1" t="s">
        <v>16</v>
      </c>
      <c r="C5" s="1" t="s">
        <v>17</v>
      </c>
      <c r="D5" s="2" t="s">
        <v>18</v>
      </c>
      <c r="E5" s="1" t="s">
        <v>19</v>
      </c>
      <c r="F5" s="3" t="s">
        <v>20</v>
      </c>
      <c r="G5" s="4">
        <v>42736</v>
      </c>
      <c r="H5" s="4">
        <v>42767</v>
      </c>
      <c r="I5" s="4">
        <v>42795</v>
      </c>
      <c r="J5" s="4">
        <v>42826</v>
      </c>
      <c r="K5" s="4">
        <v>42856</v>
      </c>
      <c r="L5" s="4">
        <v>42887</v>
      </c>
      <c r="M5" s="4">
        <v>42917</v>
      </c>
      <c r="N5" s="4">
        <v>42948</v>
      </c>
      <c r="O5" s="4">
        <v>42979</v>
      </c>
      <c r="P5" s="4">
        <v>43009</v>
      </c>
      <c r="Q5" s="4">
        <v>43040</v>
      </c>
      <c r="R5" s="4">
        <v>43070</v>
      </c>
      <c r="S5" s="4">
        <v>43101</v>
      </c>
      <c r="T5" s="4">
        <v>43132</v>
      </c>
      <c r="U5" s="4">
        <v>43160</v>
      </c>
      <c r="V5" s="4">
        <v>43191</v>
      </c>
      <c r="W5" s="4">
        <v>43221</v>
      </c>
      <c r="X5" s="4">
        <v>43252</v>
      </c>
      <c r="Y5" s="4">
        <v>43282</v>
      </c>
      <c r="Z5" s="4">
        <v>43313</v>
      </c>
      <c r="AA5" s="4">
        <v>43344</v>
      </c>
      <c r="AB5" s="4">
        <v>43374</v>
      </c>
      <c r="AC5" s="4">
        <v>43405</v>
      </c>
      <c r="AD5" s="4">
        <v>43435</v>
      </c>
    </row>
    <row r="6" spans="1:30" ht="14.25" x14ac:dyDescent="0.3">
      <c r="A6" s="123"/>
      <c r="B6" s="122" t="e">
        <f>INDEX(MASTERDATA!$C$3:$C$302,MATCH(BRAND!C6,MASTERDATA!$L$3:$L$302,0))</f>
        <v>#N/A</v>
      </c>
      <c r="C6" s="122" t="s">
        <v>237</v>
      </c>
      <c r="D6" s="125" t="e">
        <f>INDEX(MASTERDATA!$N$3:$N$302,MATCH(BRAND!C6,MASTERDATA!$L$3:$L$302,0))</f>
        <v>#N/A</v>
      </c>
      <c r="E6" s="5" t="s">
        <v>1</v>
      </c>
      <c r="F6" s="6" t="str">
        <f>C6&amp;E6</f>
        <v>EMM0001Forecast</v>
      </c>
      <c r="G6" s="7">
        <f>IFERROR(HLOOKUP(G5,Forecast!$B$1:$AK$302,MATCH($C6,Forecast!$B$2:$B$302,0)+1,0),0)</f>
        <v>0</v>
      </c>
      <c r="H6" s="7">
        <f>IFERROR(HLOOKUP(H5,Forecast!$B$1:$AK$302,MATCH($C6,Forecast!$D$2:$D$302,0)+1,0),0)</f>
        <v>0</v>
      </c>
      <c r="I6" s="7">
        <f>IFERROR(HLOOKUP(I5,Forecast!$B$1:$AK$302,MATCH($C6,Forecast!$F$2:$F$302,0)+1,0),0)</f>
        <v>0</v>
      </c>
      <c r="J6" s="7">
        <f>IFERROR(HLOOKUP(J5,Forecast!$B$1:$AK$302,MATCH($C6,Forecast!$H$2:$H$302,0)+1,0),0)</f>
        <v>0</v>
      </c>
      <c r="K6" s="7">
        <f>IFERROR(HLOOKUP(K5,Forecast!$B$1:$AK$302,MATCH($C6,Forecast!$J$2:$J$302,0)+1,0),0)</f>
        <v>0</v>
      </c>
      <c r="L6" s="7">
        <f>IFERROR(HLOOKUP(L5,Forecast!$B$1:$AK$302,MATCH($C6,Forecast!$L$2:$L$302,0)+1,0),0)</f>
        <v>0</v>
      </c>
      <c r="M6" s="7">
        <f>IFERROR(HLOOKUP(M5,Forecast!$B$1:$AK$302,MATCH($C6,Forecast!$N$2:$N$302,0)+1,0),0)</f>
        <v>0</v>
      </c>
      <c r="N6" s="7">
        <f>IFERROR(HLOOKUP(N5,Forecast!$B$1:$AK$302,MATCH($C6,Forecast!$P$2:$P$302,0)+1,0),0)</f>
        <v>0</v>
      </c>
      <c r="O6" s="7">
        <f>IFERROR(HLOOKUP(O5,Forecast!$B$1:$AK$302,MATCH($C6,Forecast!$R$2:$R$302,0)+1,0),0)</f>
        <v>0</v>
      </c>
      <c r="P6" s="7">
        <f>IFERROR(HLOOKUP(P5,Forecast!$B$1:$AK$302,MATCH($C6,Forecast!$T$2:$T$302,0)+1,0),0)</f>
        <v>0</v>
      </c>
      <c r="Q6" s="7">
        <f>IFERROR(HLOOKUP(Q5,Forecast!$B$1:$AK$302,MATCH($C6,Forecast!$V$2:$V$302,0)+1,0),0)</f>
        <v>0</v>
      </c>
      <c r="R6" s="7">
        <f>IFERROR(HLOOKUP(R5,Forecast!$B$1:$AK$302,MATCH($C6,Forecast!$X$2:$X$302,0)+1,0),0)</f>
        <v>0</v>
      </c>
      <c r="S6" s="7">
        <f>IFERROR(HLOOKUP(S5,Forecast!$B$1:$AK$302,MATCH($C6,Forecast!$Z$2:$Z$302,0)+1,0),0)</f>
        <v>0</v>
      </c>
      <c r="T6" s="7">
        <f>IFERROR(HLOOKUP(T5,Forecast!$B$1:$AK$302,MATCH($C6,Forecast!$AB$2:$AB$302,0)+1,0),0)</f>
        <v>0</v>
      </c>
      <c r="U6" s="7">
        <f>IFERROR(HLOOKUP(U5,Forecast!$B$1:$AK$302,MATCH($C6,Forecast!$AD$2:$AD$302,0)+1,0),0)</f>
        <v>0</v>
      </c>
      <c r="V6" s="7">
        <f>IFERROR(HLOOKUP(V5,Forecast!$B$1:$AK$302,MATCH($C6,Forecast!$AF$2:$AF$302,0)+1,0),0)</f>
        <v>0</v>
      </c>
      <c r="W6" s="7">
        <f>IFERROR(HLOOKUP(W5,Forecast!$B$1:$AK$302,MATCH($C6,Forecast!$AH$2:$AH$302,0)+1,0),0)</f>
        <v>0</v>
      </c>
      <c r="X6" s="8">
        <f>IFERROR(HLOOKUP(X5,Forecast!$B$1:$AK$302,MATCH($C6,Forecast!$AJ$2:$AJ$302,0)+1,0),0)</f>
        <v>0</v>
      </c>
      <c r="Y6" s="8">
        <f>IFERROR(HLOOKUP(Y5,Forecast!$B$1:$AK$302,MATCH($C6,Forecast!$AL$2:$AL$302,0)+1,0),0)</f>
        <v>0</v>
      </c>
      <c r="Z6" s="8">
        <f>IFERROR(HLOOKUP(Z5,Forecast!$B$1:$AK$302,MATCH($C6,Forecast!$AN$2:$AN$302,0)+1,0),0)</f>
        <v>0</v>
      </c>
      <c r="AA6" s="8">
        <f>IFERROR(HLOOKUP(AA5,Forecast!$B$1:$AK$302,MATCH($C6,Forecast!$AP$2:$AP$302,0)+1,0),0)</f>
        <v>0</v>
      </c>
      <c r="AB6" s="8">
        <f>IFERROR(HLOOKUP(AB5,Forecast!$B$1:$AK$302,MATCH($C6,Forecast!$AR$2:$AR$302,0)+1,0),0)</f>
        <v>0</v>
      </c>
      <c r="AC6" s="8">
        <f>IFERROR(HLOOKUP(AC5,Forecast!$B$1:$AK$302,MATCH($C6,Forecast!$AT$2:$AT$302,0)+1,0),0)</f>
        <v>0</v>
      </c>
      <c r="AD6" s="8">
        <f>IFERROR(HLOOKUP(AD5,Forecast!$B$1:$AK$302,MATCH($C6,Forecast!$AV$2:$AV$302,0)+1,0),0)</f>
        <v>0</v>
      </c>
    </row>
    <row r="7" spans="1:30" ht="14.25" x14ac:dyDescent="0.3">
      <c r="A7" s="123"/>
      <c r="B7" s="123"/>
      <c r="C7" s="123"/>
      <c r="D7" s="126"/>
      <c r="E7" s="5" t="s">
        <v>2</v>
      </c>
      <c r="F7" s="6" t="str">
        <f>C6&amp;E7</f>
        <v>EMM0001Forecast Revised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8"/>
      <c r="Y7" s="8"/>
      <c r="Z7" s="8"/>
      <c r="AA7" s="8"/>
      <c r="AB7" s="8"/>
      <c r="AC7" s="8"/>
      <c r="AD7" s="8"/>
    </row>
    <row r="8" spans="1:30" ht="14.25" x14ac:dyDescent="0.3">
      <c r="A8" s="123"/>
      <c r="B8" s="123"/>
      <c r="C8" s="123"/>
      <c r="D8" s="126"/>
      <c r="E8" s="5" t="s">
        <v>100</v>
      </c>
      <c r="F8" s="6" t="str">
        <f>C6&amp;E8</f>
        <v>EMM0001Repacking Need</v>
      </c>
      <c r="G8" s="7">
        <f>SUMIF(BOM!$L:$L,BRAND!$C6,BOM!Q:Q)</f>
        <v>0</v>
      </c>
      <c r="H8" s="7">
        <f>SUMIF(BOM!$L:$L,BRAND!$C6,BOM!R:R)</f>
        <v>0</v>
      </c>
      <c r="I8" s="7">
        <f>SUMIF(BOM!$L:$L,BRAND!$C6,BOM!S:S)</f>
        <v>0</v>
      </c>
      <c r="J8" s="7">
        <f>SUMIF(BOM!$L:$L,BRAND!$C6,BOM!T:T)</f>
        <v>0</v>
      </c>
      <c r="K8" s="7">
        <f>SUMIF(BOM!$L:$L,BRAND!$C6,BOM!U:U)</f>
        <v>0</v>
      </c>
      <c r="L8" s="7">
        <f>SUMIF(BOM!$L:$L,BRAND!$C6,BOM!V:V)</f>
        <v>0</v>
      </c>
      <c r="M8" s="7">
        <f>SUMIF(BOM!$L:$L,BRAND!$C6,BOM!W:W)</f>
        <v>0</v>
      </c>
      <c r="N8" s="7">
        <f>SUMIF(BOM!$L:$L,BRAND!$C6,BOM!X:X)</f>
        <v>0</v>
      </c>
      <c r="O8" s="7">
        <f>SUMIF(BOM!$L:$L,BRAND!$C6,BOM!Y:Y)</f>
        <v>0</v>
      </c>
      <c r="P8" s="7">
        <f>SUMIF(BOM!$L:$L,BRAND!$C6,BOM!Z:Z)</f>
        <v>0</v>
      </c>
      <c r="Q8" s="7">
        <f>SUMIF(BOM!$L:$L,BRAND!$C6,BOM!AA:AA)</f>
        <v>0</v>
      </c>
      <c r="R8" s="7">
        <f>SUMIF(BOM!$L:$L,BRAND!$C6,BOM!AB:AB)</f>
        <v>0</v>
      </c>
      <c r="S8" s="7">
        <f>SUMIF(BOM!$L:$L,BRAND!$C6,BOM!AC:AC)</f>
        <v>0</v>
      </c>
      <c r="T8" s="7">
        <f>SUMIF(BOM!$L:$L,BRAND!$C6,BOM!AD:AD)</f>
        <v>0</v>
      </c>
      <c r="U8" s="7">
        <f>SUMIF(BOM!$L:$L,BRAND!$C6,BOM!AE:AE)</f>
        <v>0</v>
      </c>
      <c r="V8" s="7">
        <f>SUMIF(BOM!$L:$L,BRAND!$C6,BOM!AF:AF)</f>
        <v>0</v>
      </c>
      <c r="W8" s="7">
        <f>SUMIF(BOM!$L:$L,BRAND!$C6,BOM!AG:AG)</f>
        <v>0</v>
      </c>
      <c r="X8" s="8">
        <f>SUMIF(BOM!$L:$L,BRAND!$C6,BOM!AH:AH)</f>
        <v>0</v>
      </c>
      <c r="Y8" s="8">
        <f>SUMIF(BOM!$L:$L,BRAND!$C6,BOM!AI:AI)</f>
        <v>0</v>
      </c>
      <c r="Z8" s="8">
        <f>SUMIF(BOM!$L:$L,BRAND!$C6,BOM!AJ:AJ)</f>
        <v>0</v>
      </c>
      <c r="AA8" s="8">
        <f>SUMIF(BOM!$L:$L,BRAND!$C6,BOM!AK:AK)</f>
        <v>0</v>
      </c>
      <c r="AB8" s="8">
        <f>SUMIF(BOM!$L:$L,BRAND!$C6,BOM!AL:AL)</f>
        <v>0</v>
      </c>
      <c r="AC8" s="8">
        <f>SUMIF(BOM!$L:$L,BRAND!$C6,BOM!AM:AM)</f>
        <v>0</v>
      </c>
      <c r="AD8" s="8">
        <f>SUMIF(BOM!$L:$L,BRAND!$C6,BOM!AN:AN)</f>
        <v>0</v>
      </c>
    </row>
    <row r="9" spans="1:30" ht="14.25" x14ac:dyDescent="0.3">
      <c r="A9" s="123"/>
      <c r="B9" s="123"/>
      <c r="C9" s="123"/>
      <c r="D9" s="126"/>
      <c r="E9" s="9" t="s">
        <v>3</v>
      </c>
      <c r="F9" s="6" t="str">
        <f>C6&amp;E9</f>
        <v>EMM0001Forecast Total</v>
      </c>
      <c r="G9" s="7">
        <f t="shared" ref="G9:AD9" si="0">SUM(IF(G7,G7,G6),G8)</f>
        <v>0</v>
      </c>
      <c r="H9" s="7">
        <f t="shared" si="0"/>
        <v>0</v>
      </c>
      <c r="I9" s="7">
        <f t="shared" si="0"/>
        <v>0</v>
      </c>
      <c r="J9" s="7">
        <f t="shared" si="0"/>
        <v>0</v>
      </c>
      <c r="K9" s="7">
        <f t="shared" si="0"/>
        <v>0</v>
      </c>
      <c r="L9" s="7">
        <f t="shared" si="0"/>
        <v>0</v>
      </c>
      <c r="M9" s="7">
        <f t="shared" si="0"/>
        <v>0</v>
      </c>
      <c r="N9" s="7">
        <f t="shared" si="0"/>
        <v>0</v>
      </c>
      <c r="O9" s="7">
        <f t="shared" si="0"/>
        <v>0</v>
      </c>
      <c r="P9" s="7">
        <f t="shared" si="0"/>
        <v>0</v>
      </c>
      <c r="Q9" s="7">
        <f t="shared" si="0"/>
        <v>0</v>
      </c>
      <c r="R9" s="7">
        <f t="shared" si="0"/>
        <v>0</v>
      </c>
      <c r="S9" s="7">
        <f t="shared" si="0"/>
        <v>0</v>
      </c>
      <c r="T9" s="7">
        <f t="shared" si="0"/>
        <v>0</v>
      </c>
      <c r="U9" s="7">
        <f t="shared" si="0"/>
        <v>0</v>
      </c>
      <c r="V9" s="7">
        <f t="shared" si="0"/>
        <v>0</v>
      </c>
      <c r="W9" s="7">
        <f t="shared" si="0"/>
        <v>0</v>
      </c>
      <c r="X9" s="7">
        <f t="shared" si="0"/>
        <v>0</v>
      </c>
      <c r="Y9" s="7">
        <f t="shared" si="0"/>
        <v>0</v>
      </c>
      <c r="Z9" s="7">
        <f t="shared" si="0"/>
        <v>0</v>
      </c>
      <c r="AA9" s="7">
        <f t="shared" si="0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</row>
    <row r="10" spans="1:30" ht="14.25" x14ac:dyDescent="0.3">
      <c r="A10" s="123"/>
      <c r="B10" s="123"/>
      <c r="C10" s="123"/>
      <c r="D10" s="126"/>
      <c r="E10" s="9" t="s">
        <v>4</v>
      </c>
      <c r="F10" s="6" t="str">
        <f>C6&amp;E10</f>
        <v>EMM0001Sales</v>
      </c>
      <c r="G10" s="7">
        <f ca="1">IF(G5&lt;=$B$2,IFERROR(HLOOKUP(G5,Sales!$B$1:$AK$302,MATCH($C6,Sales!$B$2:$B$302,0)+1,0),0),"")</f>
        <v>0</v>
      </c>
      <c r="H10" s="7">
        <f ca="1">IF(H5&lt;=$B$2,IFERROR(HLOOKUP(H5,Sales!$B$1:$AK$302,MATCH($C6,Sales!$D$2:$D$302,0)+1,0),0),"")</f>
        <v>0</v>
      </c>
      <c r="I10" s="7">
        <f ca="1">IF(I5&lt;=$B$2,IFERROR(HLOOKUP(I5,Sales!$B$1:$AK$302,MATCH($C6,Sales!$F$2:$F$302,0)+1,0),0),"")</f>
        <v>0</v>
      </c>
      <c r="J10" s="7">
        <f ca="1">IF(J5&lt;=$B$2,IFERROR(HLOOKUP(J5,Sales!$B$1:$AK$302,MATCH($C6,Sales!$H$2:$H$302,0)+1,0),0),"")</f>
        <v>0</v>
      </c>
      <c r="K10" s="7">
        <f ca="1">IF(K5&lt;=$B$2,IFERROR(HLOOKUP(K5,Sales!$B$1:$AK$302,MATCH($C6,Sales!$J$2:$J$302,0)+1,0),0),"")</f>
        <v>0</v>
      </c>
      <c r="L10" s="7">
        <f ca="1">IF(L5&lt;=$B$2,IFERROR(HLOOKUP(L5,Sales!$B$1:$AK$302,MATCH($C6,Sales!$L$2:$L$302,0)+1,0),0),"")</f>
        <v>0</v>
      </c>
      <c r="M10" s="7">
        <f ca="1">IF(M5&lt;=$B$2,IFERROR(HLOOKUP(M5,Sales!$B$1:$AK$302,MATCH($C6,Sales!$N$2:$N$302,0)+1,0),0),"")</f>
        <v>0</v>
      </c>
      <c r="N10" s="7">
        <f ca="1">IF(N5&lt;=$B$2,IFERROR(HLOOKUP(N5,Sales!$B$1:$AK$302,MATCH($C6,Sales!$P$2:$P$302,0)+1,0),0),"")</f>
        <v>0</v>
      </c>
      <c r="O10" s="7">
        <f ca="1">IF(O5&lt;=$B$2,IFERROR(HLOOKUP(O5,Sales!$B$1:$AK$302,MATCH($C6,Sales!$R$2:$R$302,0)+1,0),0),"")</f>
        <v>0</v>
      </c>
      <c r="P10" s="7" t="str">
        <f ca="1">IF(P5&lt;=$B$2,IFERROR(HLOOKUP(P5,Sales!$B$1:$AK$302,MATCH($C6,Sales!$T$2:$T$302,0)+1,0),0),"")</f>
        <v/>
      </c>
      <c r="Q10" s="7" t="str">
        <f ca="1">IF(Q5&lt;=$B$2,IFERROR(HLOOKUP(Q5,Sales!$B$1:$AK$302,MATCH($C6,Sales!$V$2:$V$302,0)+1,0),0),"")</f>
        <v/>
      </c>
      <c r="R10" s="7" t="str">
        <f ca="1">IF(R5&lt;=$B$2,IFERROR(HLOOKUP(R5,Sales!$B$1:$AK$302,MATCH($C6,Sales!$X$2:$X$302,0)+1,0),0),"")</f>
        <v/>
      </c>
      <c r="S10" s="7" t="str">
        <f ca="1">IF(S5&lt;=$B$2,IFERROR(HLOOKUP(S5,Sales!$B$1:$AK$302,MATCH($C6,Sales!$Z$2:$Z$302,0)+1,0),0),"")</f>
        <v/>
      </c>
      <c r="T10" s="7" t="str">
        <f ca="1">IF(T5&lt;=$B$2,IFERROR(HLOOKUP(T5,Sales!$B$1:$AK$302,MATCH($C6,Sales!$AB$2:$AB$302,0)+1,0),0),"")</f>
        <v/>
      </c>
      <c r="U10" s="7" t="str">
        <f ca="1">IF(U5&lt;=$B$2,IFERROR(HLOOKUP(U5,Sales!$B$1:$AK$302,MATCH($C6,Sales!$AD$2:$AD$302,0)+1,0),0),"")</f>
        <v/>
      </c>
      <c r="V10" s="7" t="str">
        <f ca="1">IF(V5&lt;=$B$2,IFERROR(HLOOKUP(V5,Sales!$B$1:$AK$302,MATCH($C6,Sales!$AF$2:$AF$302,0)+1,0),0),"")</f>
        <v/>
      </c>
      <c r="W10" s="7" t="str">
        <f ca="1">IF(W5&lt;=$B$2,IFERROR(HLOOKUP(W5,Sales!$B$1:$AK$302,MATCH($C6,Sales!$AH$2:$AH$302,0)+1,0),0),"")</f>
        <v/>
      </c>
      <c r="X10" s="7" t="str">
        <f ca="1">IF(X5&lt;=$B$2,IFERROR(HLOOKUP(X5,Sales!$B$1:$AK$302,MATCH($C6,Sales!$AJ$2:$AJ$302,0)+1,0),0),"")</f>
        <v/>
      </c>
      <c r="Y10" s="7" t="str">
        <f ca="1">IF(Y5&lt;=$B$2,IFERROR(HLOOKUP(Y5,Sales!$B$1:$AK$302,MATCH($C6,Sales!$AL$2:$AL$302,0)+1,0),0),"")</f>
        <v/>
      </c>
      <c r="Z10" s="7" t="str">
        <f ca="1">IF(Z5&lt;=$B$2,IFERROR(HLOOKUP(Z5,Sales!$B$1:$AK$302,MATCH($C6,Sales!$AN$2:$AN$302,0)+1,0),0),"")</f>
        <v/>
      </c>
      <c r="AA10" s="7" t="str">
        <f ca="1">IF(AA5&lt;=$B$2,IFERROR(HLOOKUP(AA5,Sales!$B$1:$AK$302,MATCH($C6,Sales!$AP$2:$AP$302,0)+1,0),0),"")</f>
        <v/>
      </c>
      <c r="AB10" s="7" t="str">
        <f ca="1">IF(AB5&lt;=$B$2,IFERROR(HLOOKUP(AB5,Sales!$B$1:$AK$302,MATCH($C6,Sales!$AR$2:$AR$302,0)+1,0),0),"")</f>
        <v/>
      </c>
      <c r="AC10" s="7" t="str">
        <f ca="1">IF(AC5&lt;=$B$2,IFERROR(HLOOKUP(AC5,Sales!$B$1:$AK$302,MATCH($C6,Sales!$AT$2:$AT$302,0)+1,0),0),"")</f>
        <v/>
      </c>
      <c r="AD10" s="7" t="str">
        <f ca="1">IF(AD5&lt;=$B$2,IFERROR(HLOOKUP(AD5,Sales!$B$1:$AK$302,MATCH($C6,Sales!$AV$2:$AV$302,0)+1,0),0),"")</f>
        <v/>
      </c>
    </row>
    <row r="11" spans="1:30" ht="14.25" x14ac:dyDescent="0.3">
      <c r="A11" s="123"/>
      <c r="B11" s="123"/>
      <c r="C11" s="123"/>
      <c r="D11" s="126"/>
      <c r="E11" s="10" t="s">
        <v>5</v>
      </c>
      <c r="F11" s="6" t="str">
        <f>C6&amp;E11</f>
        <v>EMM0001New PO-Net QTY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7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30" ht="14.25" x14ac:dyDescent="0.3">
      <c r="A12" s="123"/>
      <c r="B12" s="123"/>
      <c r="C12" s="123"/>
      <c r="D12" s="126"/>
      <c r="E12" s="12" t="s">
        <v>6</v>
      </c>
      <c r="F12" s="6" t="str">
        <f>C6&amp;E12</f>
        <v>EMM0001New PO-Forced QTY</v>
      </c>
      <c r="G12" s="13" t="e">
        <f ca="1">IF(G5=$B20,VLOOKUP($C6,ORDER!$A$2:$S$155,18,0),"")</f>
        <v>#N/A</v>
      </c>
      <c r="H12" s="13" t="e">
        <f ca="1">IF(H5=$B20,VLOOKUP($C6,ORDER!$A$2:$S$155,18,0),"")</f>
        <v>#N/A</v>
      </c>
      <c r="I12" s="13" t="e">
        <f ca="1">IF(I5=$B20,VLOOKUP($C6,ORDER!$A$2:$S$155,18,0),"")</f>
        <v>#N/A</v>
      </c>
      <c r="J12" s="13" t="e">
        <f ca="1">IF(J5=$B20,VLOOKUP($C6,ORDER!$A$2:$S$155,18,0),"")</f>
        <v>#N/A</v>
      </c>
      <c r="K12" s="13" t="e">
        <f ca="1">IF(K5=$B20,VLOOKUP($C6,ORDER!$A$2:$S$155,18,0),"")</f>
        <v>#N/A</v>
      </c>
      <c r="L12" s="13" t="e">
        <f ca="1">IF(L5=$B20,VLOOKUP($C6,ORDER!$A$2:$S$155,18,0),"")</f>
        <v>#N/A</v>
      </c>
      <c r="M12" s="13" t="e">
        <f ca="1">IF(M5=$B20,VLOOKUP($C6,ORDER!$A$2:$S$155,18,0),"")</f>
        <v>#N/A</v>
      </c>
      <c r="N12" s="13" t="e">
        <f ca="1">IF(N5=$B20,VLOOKUP($C6,ORDER!$A$2:$S$155,18,0),"")</f>
        <v>#N/A</v>
      </c>
      <c r="O12" s="13" t="e">
        <f ca="1">IF(O5=$B20,VLOOKUP($C6,ORDER!$A$2:$S$155,18,0),"")</f>
        <v>#N/A</v>
      </c>
      <c r="P12" s="13" t="e">
        <f ca="1">IF(P5=$B20,VLOOKUP($C6,ORDER!$A$2:$S$155,18,0),"")</f>
        <v>#N/A</v>
      </c>
      <c r="Q12" s="14" t="e">
        <f ca="1">IF(Q5=$B20,VLOOKUP($C6,ORDER!$A$2:$S$155,18,0),"")</f>
        <v>#N/A</v>
      </c>
      <c r="R12" s="13" t="e">
        <f ca="1">IF(R5=$B20,VLOOKUP($C6,ORDER!$A$2:$S$155,18,0),"")</f>
        <v>#N/A</v>
      </c>
      <c r="S12" s="13" t="e">
        <f ca="1">IF(S5=$B20,VLOOKUP($C6,ORDER!$A$2:$S$155,18,0),"")</f>
        <v>#N/A</v>
      </c>
      <c r="T12" s="13" t="e">
        <f ca="1">IF(T5=$B20,VLOOKUP($C6,ORDER!$A$2:$S$155,18,0),"")</f>
        <v>#N/A</v>
      </c>
      <c r="U12" s="13" t="e">
        <f ca="1">IF(U5=$B20,VLOOKUP($C6,ORDER!$A$2:$S$155,18,0),"")</f>
        <v>#N/A</v>
      </c>
      <c r="V12" s="13" t="e">
        <f ca="1">IF(V5=$B20,VLOOKUP($C6,ORDER!$A$2:$S$155,18,0),"")</f>
        <v>#N/A</v>
      </c>
      <c r="W12" s="13" t="e">
        <f ca="1">IF(W5=$B20,VLOOKUP($C6,ORDER!$A$2:$S$155,18,0),"")</f>
        <v>#N/A</v>
      </c>
      <c r="X12" s="13" t="e">
        <f ca="1">IF(X5=$B20,VLOOKUP($C6,ORDER!$A$2:$S$155,18,0),"")</f>
        <v>#N/A</v>
      </c>
      <c r="Y12" s="13" t="e">
        <f ca="1">IF(Y5=$B20,VLOOKUP($C6,ORDER!$A$2:$S$155,18,0),"")</f>
        <v>#N/A</v>
      </c>
      <c r="Z12" s="13" t="e">
        <f ca="1">IF(Z5=$B20,VLOOKUP($C6,ORDER!$A$2:$S$155,18,0),"")</f>
        <v>#N/A</v>
      </c>
      <c r="AA12" s="13" t="e">
        <f ca="1">IF(AA5=$B20,VLOOKUP($C6,ORDER!$A$2:$S$155,18,0),"")</f>
        <v>#N/A</v>
      </c>
      <c r="AB12" s="13" t="e">
        <f ca="1">IF(AB5=$B20,VLOOKUP($C6,ORDER!$A$2:$S$155,18,0),"")</f>
        <v>#N/A</v>
      </c>
      <c r="AC12" s="13" t="e">
        <f ca="1">IF(AC5=$B20,VLOOKUP($C6,ORDER!$A$2:$S$155,18,0),"")</f>
        <v>#N/A</v>
      </c>
      <c r="AD12" s="13" t="e">
        <f ca="1">IF(AD5=$B20,VLOOKUP($C6,ORDER!$A$2:$S$155,18,0),"")</f>
        <v>#N/A</v>
      </c>
    </row>
    <row r="13" spans="1:30" ht="14.25" x14ac:dyDescent="0.3">
      <c r="A13" s="123"/>
      <c r="B13" s="123"/>
      <c r="C13" s="123"/>
      <c r="D13" s="126"/>
      <c r="E13" s="15" t="s">
        <v>7</v>
      </c>
      <c r="F13" s="6" t="str">
        <f>C6&amp;E13</f>
        <v>EMM0001Open PO</v>
      </c>
      <c r="G13" s="16">
        <f>SUMIF('Open PO'!$C:$C,BRAND!$C6,'Open PO'!D:D)</f>
        <v>0</v>
      </c>
      <c r="H13" s="17">
        <f>SUMIF('Open PO'!$C:$C,BRAND!$C6,'Open PO'!E:E)</f>
        <v>0</v>
      </c>
      <c r="I13" s="16">
        <f>SUMIF('Open PO'!$C:$C,BRAND!$C6,'Open PO'!F:F)</f>
        <v>0</v>
      </c>
      <c r="J13" s="17">
        <f>SUMIF('Open PO'!$C:$C,BRAND!$C6,'Open PO'!G:G)</f>
        <v>0</v>
      </c>
      <c r="K13" s="16">
        <f>SUMIF('Open PO'!$C:$C,BRAND!$C6,'Open PO'!H:H)</f>
        <v>0</v>
      </c>
      <c r="L13" s="17">
        <f>SUMIF('Open PO'!$C:$C,BRAND!$C6,'Open PO'!I:I)</f>
        <v>0</v>
      </c>
      <c r="M13" s="16">
        <f>SUMIF('Open PO'!$C:$C,BRAND!$C6,'Open PO'!J:J)</f>
        <v>0</v>
      </c>
      <c r="N13" s="17">
        <f>SUMIF('Open PO'!$C:$C,BRAND!$C6,'Open PO'!K:K)</f>
        <v>0</v>
      </c>
      <c r="O13" s="16">
        <f>SUMIF('Open PO'!$C:$C,BRAND!$C6,'Open PO'!L:L)</f>
        <v>0</v>
      </c>
      <c r="P13" s="17">
        <f>SUMIF('Open PO'!$C:$C,BRAND!$C6,'Open PO'!M:M)</f>
        <v>0</v>
      </c>
      <c r="Q13" s="16">
        <f>SUMIF('Open PO'!$C:$C,BRAND!$C6,'Open PO'!N:N)</f>
        <v>0</v>
      </c>
      <c r="R13" s="17">
        <f>SUMIF('Open PO'!$C:$C,BRAND!$C6,'Open PO'!O:O)</f>
        <v>0</v>
      </c>
      <c r="S13" s="16">
        <f>SUMIF('Open PO'!$C:$C,BRAND!$C6,'Open PO'!P:P)</f>
        <v>0</v>
      </c>
      <c r="T13" s="17">
        <f>SUMIF('Open PO'!$C:$C,BRAND!$C6,'Open PO'!Q:Q)</f>
        <v>0</v>
      </c>
      <c r="U13" s="16">
        <f>SUMIF('Open PO'!$C:$C,BRAND!$C6,'Open PO'!R:R)</f>
        <v>0</v>
      </c>
      <c r="V13" s="17">
        <f>SUMIF('Open PO'!$C:$C,BRAND!$C6,'Open PO'!S:S)</f>
        <v>0</v>
      </c>
      <c r="W13" s="16">
        <f>SUMIF('Open PO'!$C:$C,BRAND!$C6,'Open PO'!T:T)</f>
        <v>0</v>
      </c>
      <c r="X13" s="17">
        <f>SUMIF('Open PO'!$C:$C,BRAND!$C6,'Open PO'!U:U)</f>
        <v>0</v>
      </c>
      <c r="Y13" s="17">
        <f>SUMIF('Open PO'!$C:$C,BRAND!$C6,'Open PO'!V:V)</f>
        <v>0</v>
      </c>
      <c r="Z13" s="17">
        <f>SUMIF('Open PO'!$C:$C,BRAND!$C6,'Open PO'!W:W)</f>
        <v>0</v>
      </c>
      <c r="AA13" s="17">
        <f>SUMIF('Open PO'!$C:$C,BRAND!$C6,'Open PO'!X:X)</f>
        <v>0</v>
      </c>
      <c r="AB13" s="17">
        <f>SUMIF('Open PO'!$C:$C,BRAND!$C6,'Open PO'!Y:Y)</f>
        <v>0</v>
      </c>
      <c r="AC13" s="17">
        <f>SUMIF('Open PO'!$C:$C,BRAND!$C6,'Open PO'!Z:Z)</f>
        <v>0</v>
      </c>
      <c r="AD13" s="17">
        <f>SUMIF('Open PO'!$C:$C,BRAND!$C6,'Open PO'!AA:AA)</f>
        <v>0</v>
      </c>
    </row>
    <row r="14" spans="1:30" ht="14.25" x14ac:dyDescent="0.3">
      <c r="A14" s="123"/>
      <c r="B14" s="123"/>
      <c r="C14" s="123"/>
      <c r="D14" s="126"/>
      <c r="E14" s="18" t="s">
        <v>8</v>
      </c>
      <c r="F14" s="6" t="str">
        <f>C6&amp;E14</f>
        <v>EMM0001Stock End Period</v>
      </c>
      <c r="G14" s="19">
        <f t="shared" ref="G14:AD14" ca="1" si="1">SUM(IF(G5&gt;$B$2,IF(F14&gt;0,F14,0),G15),IF(ISNUMBER(G12),G12,IF(ISNUMBER(G11),G11,0)),G13,-IF(G5=$B$2,IF(G9&gt;G10,G9-G10,0),IF(G5&gt;$B$2,G9,0)),G18)</f>
        <v>0</v>
      </c>
      <c r="H14" s="19">
        <f t="shared" ca="1" si="1"/>
        <v>0</v>
      </c>
      <c r="I14" s="19">
        <f t="shared" ca="1" si="1"/>
        <v>0</v>
      </c>
      <c r="J14" s="19">
        <f t="shared" ca="1" si="1"/>
        <v>0</v>
      </c>
      <c r="K14" s="19">
        <f t="shared" ca="1" si="1"/>
        <v>0</v>
      </c>
      <c r="L14" s="19">
        <f t="shared" ca="1" si="1"/>
        <v>0</v>
      </c>
      <c r="M14" s="19">
        <f t="shared" ca="1" si="1"/>
        <v>0</v>
      </c>
      <c r="N14" s="19">
        <f t="shared" ca="1" si="1"/>
        <v>0</v>
      </c>
      <c r="O14" s="19">
        <f t="shared" ca="1" si="1"/>
        <v>13.52</v>
      </c>
      <c r="P14" s="19">
        <f t="shared" ca="1" si="1"/>
        <v>13.52</v>
      </c>
      <c r="Q14" s="19">
        <f t="shared" ca="1" si="1"/>
        <v>13.52</v>
      </c>
      <c r="R14" s="19">
        <f t="shared" ca="1" si="1"/>
        <v>13.52</v>
      </c>
      <c r="S14" s="19">
        <f t="shared" ca="1" si="1"/>
        <v>13.52</v>
      </c>
      <c r="T14" s="19">
        <f t="shared" ca="1" si="1"/>
        <v>13.52</v>
      </c>
      <c r="U14" s="19">
        <f t="shared" ca="1" si="1"/>
        <v>13.52</v>
      </c>
      <c r="V14" s="19">
        <f t="shared" ca="1" si="1"/>
        <v>13.52</v>
      </c>
      <c r="W14" s="19">
        <f t="shared" ca="1" si="1"/>
        <v>13.52</v>
      </c>
      <c r="X14" s="19">
        <f t="shared" ca="1" si="1"/>
        <v>13.52</v>
      </c>
      <c r="Y14" s="19">
        <f t="shared" ca="1" si="1"/>
        <v>13.52</v>
      </c>
      <c r="Z14" s="19">
        <f t="shared" ca="1" si="1"/>
        <v>13.52</v>
      </c>
      <c r="AA14" s="19">
        <f t="shared" ca="1" si="1"/>
        <v>13.52</v>
      </c>
      <c r="AB14" s="19">
        <f t="shared" ca="1" si="1"/>
        <v>13.52</v>
      </c>
      <c r="AC14" s="19">
        <f t="shared" ca="1" si="1"/>
        <v>13.52</v>
      </c>
      <c r="AD14" s="19">
        <f t="shared" ca="1" si="1"/>
        <v>13.52</v>
      </c>
    </row>
    <row r="15" spans="1:30" ht="14.25" x14ac:dyDescent="0.3">
      <c r="A15" s="123"/>
      <c r="B15" s="123"/>
      <c r="C15" s="123"/>
      <c r="D15" s="126"/>
      <c r="E15" s="9" t="s">
        <v>9</v>
      </c>
      <c r="F15" s="6" t="str">
        <f>C6&amp;E15</f>
        <v>EMM0001Available Stock</v>
      </c>
      <c r="G15" s="7">
        <f ca="1">IF(G5&lt;=$B$2,IFERROR(HLOOKUP(G5,Stock!$E$1:$AN$302,MATCH($C6,Stock!$E$2:$E$302,0)+1,0),0)+IFERROR(HLOOKUP(G5,'Stock Transfer'!$E$1:$AN$302,MATCH($C6,'Stock Transfer'!$E$2:$E$302,0)+1,0),0),"")</f>
        <v>0</v>
      </c>
      <c r="H15" s="7">
        <f ca="1">IF(H5&lt;=$B$2,IFERROR(HLOOKUP(H5,Stock!$E$1:$AN$302,MATCH($C6,Stock!$G$2:$G$302,0)+1,0),0)+IFERROR(HLOOKUP(H5,'Stock Transfer'!$E$1:$AN$302,MATCH($C6,'Stock Transfer'!$G$2:$G$302,0)+1,0),0),"")</f>
        <v>0</v>
      </c>
      <c r="I15" s="7">
        <f ca="1">IF(I5&lt;=$B$2,IFERROR(HLOOKUP(I5,Stock!$E$1:$AN$302,MATCH($C6,Stock!$I$2:$I$302,0)+1,0),0)+IFERROR(HLOOKUP(I5,'Stock Transfer'!$E$1:$AN$302,MATCH($C6,'Stock Transfer'!$I$2:$I$302,0)+1,0),0),"")</f>
        <v>0</v>
      </c>
      <c r="J15" s="7">
        <f ca="1">IF(J5&lt;=$B$2,IFERROR(HLOOKUP(J5,Stock!$E$1:$AN$302,MATCH($C6,Stock!$K$2:$K$302,0)+1,0),0)+IFERROR(HLOOKUP(J5,'Stock Transfer'!$E$1:$AN$302,MATCH($C6,'Stock Transfer'!$K$2:$K$302,0)+1,0),0),"")</f>
        <v>0</v>
      </c>
      <c r="K15" s="7">
        <f ca="1">IF(K5&lt;=$B$2,IFERROR(HLOOKUP(K5,Stock!$E$1:$AN$302,MATCH($C6,Stock!$M$2:$M$302,0)+1,0),0)+IFERROR(HLOOKUP(K5,'Stock Transfer'!$E$1:$AN$302,MATCH($C6,'Stock Transfer'!$M$2:$M$302,0)+1,0),0),"")</f>
        <v>0</v>
      </c>
      <c r="L15" s="7">
        <f ca="1">IF(L5&lt;=$B$2,IFERROR(HLOOKUP(L5,Stock!$E$1:$AN$302,MATCH($C6,Stock!$O$2:$O$302,0)+1,0),0)+IFERROR(HLOOKUP(L5,'Stock Transfer'!$E$1:$AN$302,MATCH($C6,'Stock Transfer'!$O$2:$O$302,0)+1,0),0),"")</f>
        <v>0</v>
      </c>
      <c r="M15" s="7">
        <f ca="1">IF(M5&lt;=$B$2,IFERROR(HLOOKUP(M5,Stock!$E$1:$AN$302,MATCH($C6,Stock!$Q$2:$Q$302,0)+1,0),0)+IFERROR(HLOOKUP(M5,'Stock Transfer'!$E$1:$AN$302,MATCH($C6,'Stock Transfer'!$Q$2:$Q$302,0)+1,0),0),"")</f>
        <v>0</v>
      </c>
      <c r="N15" s="7">
        <f ca="1">IF(N5&lt;=$B$2,IFERROR(HLOOKUP(N5,Stock!$E$1:$AN$302,MATCH($C6,Stock!$S$2:$S$302,0)+1,0),0)+IFERROR(HLOOKUP(N5,'Stock Transfer'!$E$1:$AN$302,MATCH($C6,'Stock Transfer'!$S$2:$S$302,0)+1,0),0),"")</f>
        <v>0</v>
      </c>
      <c r="O15" s="7">
        <f ca="1">IF(O5&lt;=$B$2,IFERROR(HLOOKUP(O5,Stock!$E$1:$AN$302,MATCH($C6,Stock!$U$2:$U$302,0)+1,0),0)+IFERROR(HLOOKUP(O5,'Stock Transfer'!$E$1:$AN$302,MATCH($C6,'Stock Transfer'!$U$2:$U$302,0)+1,0),0),"")</f>
        <v>13.52</v>
      </c>
      <c r="P15" s="7" t="str">
        <f ca="1">IF(P5&lt;=$B$2,IFERROR(HLOOKUP(P5,Stock!$E$1:$AN$302,MATCH($C6,Stock!$W$2:$W$302,0)+1,0),0)+IFERROR(HLOOKUP(P5,'Stock Transfer'!$E$1:$AN$302,MATCH($C6,'Stock Transfer'!$W$2:$W$302,0)+1,0),0),"")</f>
        <v/>
      </c>
      <c r="Q15" s="7" t="str">
        <f ca="1">IF(Q5&lt;=$B$2,IFERROR(HLOOKUP(Q5,Stock!$E$1:$AN$302,MATCH($C6,Stock!$Y$2:$Y$302,0)+1,0),0)+IFERROR(HLOOKUP(Q5,'Stock Transfer'!$E$1:$AN$302,MATCH($C6,'Stock Transfer'!$Y$2:$Y$302,0)+1,0),0),"")</f>
        <v/>
      </c>
      <c r="R15" s="7" t="str">
        <f ca="1">IF(R5&lt;=$B$2,IFERROR(HLOOKUP(R5,Stock!$E$1:$AN$302,MATCH($C6,Stock!$AA$2:$AA$302,0)+1,0),0)+IFERROR(HLOOKUP(R5,'Stock Transfer'!$E$1:$AN$302,MATCH($C6,'Stock Transfer'!$AA$2:$AA$302,0)+1,0),0),"")</f>
        <v/>
      </c>
      <c r="S15" s="7" t="str">
        <f ca="1">IF(S5&lt;=$B$2,IFERROR(HLOOKUP(S5,Stock!$E$1:$AN$302,MATCH($C6,Stock!$AC$2:$AC$302,0)+1,0),0)+IFERROR(HLOOKUP(S5,'Stock Transfer'!$E$1:$AN$302,MATCH($C6,'Stock Transfer'!$AC$2:$AC$302,0)+1,0),0),"")</f>
        <v/>
      </c>
      <c r="T15" s="7" t="str">
        <f ca="1">IF(T5&lt;=$B$2,IFERROR(HLOOKUP(T5,Stock!$E$1:$AN$302,MATCH($C6,Stock!$AE$2:$AE$302,0)+1,0),0)+IFERROR(HLOOKUP(T5,'Stock Transfer'!$E$1:$AN$302,MATCH($C6,'Stock Transfer'!$AE$2:$AE$302,0)+1,0),0),"")</f>
        <v/>
      </c>
      <c r="U15" s="7" t="str">
        <f ca="1">IF(U5&lt;=$B$2,IFERROR(HLOOKUP(U5,Stock!$E$1:$AN$302,MATCH($C6,Stock!$AG$2:$AG$302,0)+1,0),0)+IFERROR(HLOOKUP(U5,'Stock Transfer'!$E$1:$AN$302,MATCH($C6,'Stock Transfer'!$AG$2:$AG$302,0)+1,0),0),"")</f>
        <v/>
      </c>
      <c r="V15" s="7" t="str">
        <f ca="1">IF(V5&lt;=$B$2,IFERROR(HLOOKUP(V5,Stock!$E$1:$AN$302,MATCH($C6,Stock!$AI$2:$AI$302,0)+1,0),0)+IFERROR(HLOOKUP(V5,'Stock Transfer'!$E$1:$AN$302,MATCH($C6,'Stock Transfer'!$AI$2:$AI$302,0)+1,0),0),"")</f>
        <v/>
      </c>
      <c r="W15" s="7" t="str">
        <f ca="1">IF(W5&lt;=$B$2,IFERROR(HLOOKUP(W5,Stock!$E$1:$AN$302,MATCH($C6,Stock!$AK$2:$AK$302,0)+1,0),0)+IFERROR(HLOOKUP(W5,'Stock Transfer'!$E$1:$AN$302,MATCH($C6,'Stock Transfer'!$AK$2:$AK$302,0)+1,0),0),"")</f>
        <v/>
      </c>
      <c r="X15" s="7" t="str">
        <f ca="1">IF(X5&lt;=$B$2,IFERROR(HLOOKUP(X5,Stock!$E$1:$AN$302,MATCH($C6,Stock!$AM$2:$AM$302,0)+1,0),0)+IFERROR(HLOOKUP(X5,'Stock Transfer'!$E$1:$AN$302,MATCH($C6,'Stock Transfer'!$AM$2:$AM$302,0)+1,0),0),"")</f>
        <v/>
      </c>
      <c r="Y15" s="7" t="str">
        <f ca="1">IF(Y5&lt;=$B$2,IFERROR(HLOOKUP(Y5,Stock!$E$1:$AN$302,MATCH($C6,Stock!$AO$2:$AO$302,0)+1,0),0)+IFERROR(HLOOKUP(Y5,'Stock Transfer'!$E$1:$AN$302,MATCH($C6,'Stock Transfer'!$AO$2:$AO$302,0)+1,0),0),"")</f>
        <v/>
      </c>
      <c r="Z15" s="7" t="str">
        <f ca="1">IF(Z5&lt;=$B$2,IFERROR(HLOOKUP(Z5,Stock!$E$1:$AN$302,MATCH($C6,Stock!$AQ$2:$AQ$302,0)+1,0),0)+IFERROR(HLOOKUP(Z5,'Stock Transfer'!$E$1:$AN$302,MATCH($C6,'Stock Transfer'!$AQ$2:$AQ$302,0)+1,0),0),"")</f>
        <v/>
      </c>
      <c r="AA15" s="7" t="str">
        <f ca="1">IF(AA5&lt;=$B$2,IFERROR(HLOOKUP(AA5,Stock!$E$1:$AN$302,MATCH($C6,Stock!$AS$2:$AS$302,0)+1,0),0)+IFERROR(HLOOKUP(AA5,'Stock Transfer'!$E$1:$AN$302,MATCH($C6,'Stock Transfer'!$AS$2:$AS$302,0)+1,0),0),"")</f>
        <v/>
      </c>
      <c r="AB15" s="7" t="str">
        <f ca="1">IF(AB5&lt;=$B$2,IFERROR(HLOOKUP(AB5,Stock!$E$1:$AN$302,MATCH($C6,Stock!$AU$2:$AU$302,0)+1,0),0)+IFERROR(HLOOKUP(AB5,'Stock Transfer'!$E$1:$AN$302,MATCH($C6,'Stock Transfer'!$AU$2:$AU$302,0)+1,0),0),"")</f>
        <v/>
      </c>
      <c r="AC15" s="7" t="str">
        <f ca="1">IF(AC5&lt;=$B$2,IFERROR(HLOOKUP(AC5,Stock!$E$1:$AN$302,MATCH($C6,Stock!$AW$2:$AW$302,0)+1,0),0)+IFERROR(HLOOKUP(AC5,'Stock Transfer'!$E$1:$AN$302,MATCH($C6,'Stock Transfer'!$AW$2:$AW$302,0)+1,0),0),"")</f>
        <v/>
      </c>
      <c r="AD15" s="7"/>
    </row>
    <row r="16" spans="1:30" ht="14.25" x14ac:dyDescent="0.3">
      <c r="A16" s="123"/>
      <c r="B16" s="123"/>
      <c r="C16" s="123"/>
      <c r="D16" s="126"/>
      <c r="E16" s="5" t="s">
        <v>10</v>
      </c>
      <c r="F16" s="6" t="str">
        <f>C6&amp;E16</f>
        <v>EMM0001Shortage</v>
      </c>
      <c r="G16" s="20" t="str">
        <f t="shared" ref="G16:AD16" ca="1" si="2">IF(G14&lt;0,G14,"")</f>
        <v/>
      </c>
      <c r="H16" s="20" t="str">
        <f t="shared" ca="1" si="2"/>
        <v/>
      </c>
      <c r="I16" s="20" t="str">
        <f t="shared" ca="1" si="2"/>
        <v/>
      </c>
      <c r="J16" s="20" t="str">
        <f t="shared" ca="1" si="2"/>
        <v/>
      </c>
      <c r="K16" s="20" t="str">
        <f t="shared" ca="1" si="2"/>
        <v/>
      </c>
      <c r="L16" s="20" t="str">
        <f t="shared" ca="1" si="2"/>
        <v/>
      </c>
      <c r="M16" s="20" t="str">
        <f t="shared" ca="1" si="2"/>
        <v/>
      </c>
      <c r="N16" s="20" t="str">
        <f t="shared" ca="1" si="2"/>
        <v/>
      </c>
      <c r="O16" s="20" t="str">
        <f t="shared" ca="1" si="2"/>
        <v/>
      </c>
      <c r="P16" s="20" t="str">
        <f t="shared" ca="1" si="2"/>
        <v/>
      </c>
      <c r="Q16" s="20" t="str">
        <f t="shared" ca="1" si="2"/>
        <v/>
      </c>
      <c r="R16" s="20" t="str">
        <f t="shared" ca="1" si="2"/>
        <v/>
      </c>
      <c r="S16" s="20" t="str">
        <f t="shared" ca="1" si="2"/>
        <v/>
      </c>
      <c r="T16" s="20" t="str">
        <f t="shared" ca="1" si="2"/>
        <v/>
      </c>
      <c r="U16" s="20" t="str">
        <f t="shared" ca="1" si="2"/>
        <v/>
      </c>
      <c r="V16" s="20" t="str">
        <f t="shared" ca="1" si="2"/>
        <v/>
      </c>
      <c r="W16" s="20" t="str">
        <f t="shared" ca="1" si="2"/>
        <v/>
      </c>
      <c r="X16" s="20" t="str">
        <f t="shared" ca="1" si="2"/>
        <v/>
      </c>
      <c r="Y16" s="20" t="str">
        <f t="shared" ca="1" si="2"/>
        <v/>
      </c>
      <c r="Z16" s="20" t="str">
        <f t="shared" ca="1" si="2"/>
        <v/>
      </c>
      <c r="AA16" s="20" t="str">
        <f t="shared" ca="1" si="2"/>
        <v/>
      </c>
      <c r="AB16" s="20" t="str">
        <f t="shared" ca="1" si="2"/>
        <v/>
      </c>
      <c r="AC16" s="20" t="str">
        <f t="shared" ca="1" si="2"/>
        <v/>
      </c>
      <c r="AD16" s="20" t="str">
        <f t="shared" ca="1" si="2"/>
        <v/>
      </c>
    </row>
    <row r="17" spans="1:30" ht="14.25" x14ac:dyDescent="0.3">
      <c r="A17" s="123"/>
      <c r="B17" s="123"/>
      <c r="C17" s="123"/>
      <c r="D17" s="126"/>
      <c r="E17" s="5" t="s">
        <v>11</v>
      </c>
      <c r="F17" s="6" t="str">
        <f>C6&amp;E17</f>
        <v>EMM0001Last Date Sell</v>
      </c>
      <c r="G17" s="7">
        <f>IFERROR(HLOOKUP(G5,'Last Date'!$B$1:$AK$302,MATCH($C6,'Last Date'!$B$2:$B$302,0)+1,0),0)</f>
        <v>0</v>
      </c>
      <c r="H17" s="7">
        <f>IFERROR(HLOOKUP(H5,'Last Date'!$B$1:$AK$302,MATCH($C6,'Last Date'!$B$2:$B$302,0)+1,0),0)</f>
        <v>0</v>
      </c>
      <c r="I17" s="7">
        <f>IFERROR(HLOOKUP(I5,'Last Date'!$B$1:$AK$302,MATCH($C6,'Last Date'!$B$2:$B$302,0)+1,0),0)</f>
        <v>0</v>
      </c>
      <c r="J17" s="7">
        <f>IFERROR(HLOOKUP(J5,'Last Date'!$B$1:$AK$302,MATCH($C6,'Last Date'!$B$2:$B$302,0)+1,0),0)</f>
        <v>0</v>
      </c>
      <c r="K17" s="7">
        <f>IFERROR(HLOOKUP(K5,'Last Date'!$B$1:$AK$302,MATCH($C6,'Last Date'!$B$2:$B$302,0)+1,0),0)</f>
        <v>0</v>
      </c>
      <c r="L17" s="7">
        <f>IFERROR(HLOOKUP(L5,'Last Date'!$B$1:$AK$302,MATCH($C6,'Last Date'!$B$2:$B$302,0)+1,0),0)</f>
        <v>0</v>
      </c>
      <c r="M17" s="7">
        <f>IFERROR(HLOOKUP(M5,'Last Date'!$B$1:$AK$302,MATCH($C6,'Last Date'!$B$2:$B$302,0)+1,0),0)</f>
        <v>0</v>
      </c>
      <c r="N17" s="7">
        <f>IFERROR(HLOOKUP(N5,'Last Date'!$B$1:$AK$302,MATCH($C6,'Last Date'!$B$2:$B$302,0)+1,0),0)</f>
        <v>0</v>
      </c>
      <c r="O17" s="7">
        <f>IFERROR(HLOOKUP(O5,'Last Date'!$B$1:$AK$302,MATCH($C6,'Last Date'!$B$2:$B$302,0)+1,0),0)</f>
        <v>0</v>
      </c>
      <c r="P17" s="7">
        <f>IFERROR(HLOOKUP(P5,'Last Date'!$B$1:$AK$302,MATCH($C6,'Last Date'!$B$2:$B$302,0)+1,0),0)</f>
        <v>0</v>
      </c>
      <c r="Q17" s="7">
        <f>IFERROR(HLOOKUP(Q5,'Last Date'!$B$1:$AK$302,MATCH($C6,'Last Date'!$B$2:$B$302,0)+1,0),0)</f>
        <v>0</v>
      </c>
      <c r="R17" s="7">
        <f>IFERROR(HLOOKUP(R5,'Last Date'!$B$1:$AK$302,MATCH($C6,'Last Date'!$B$2:$B$302,0)+1,0),0)</f>
        <v>0</v>
      </c>
      <c r="S17" s="7">
        <f>IFERROR(HLOOKUP(S5,'Last Date'!$B$1:$AK$302,MATCH($C6,'Last Date'!$B$2:$B$302,0)+1,0),0)</f>
        <v>0</v>
      </c>
      <c r="T17" s="7">
        <f>IFERROR(HLOOKUP(T5,'Last Date'!$B$1:$AK$302,MATCH($C6,'Last Date'!$B$2:$B$302,0)+1,0),0)</f>
        <v>0</v>
      </c>
      <c r="U17" s="7">
        <f>IFERROR(HLOOKUP(U5,'Last Date'!$B$1:$AK$302,MATCH($C6,'Last Date'!$B$2:$B$302,0)+1,0),0)</f>
        <v>0</v>
      </c>
      <c r="V17" s="7">
        <f>IFERROR(HLOOKUP(V5,'Last Date'!$B$1:$AK$302,MATCH($C6,'Last Date'!$B$2:$B$302,0)+1,0),0)</f>
        <v>0</v>
      </c>
      <c r="W17" s="7">
        <f>IFERROR(HLOOKUP(W5,'Last Date'!$B$1:$AK$302,MATCH($C6,'Last Date'!$B$2:$B$302,0)+1,0),0)</f>
        <v>0</v>
      </c>
      <c r="X17" s="7">
        <f>IFERROR(HLOOKUP(X5,'Last Date'!$B$1:$AK$302,MATCH($C6,'Last Date'!$B$2:$B$302,0)+1,0),0)</f>
        <v>0</v>
      </c>
      <c r="Y17" s="7">
        <f>IFERROR(HLOOKUP(Y5,'Last Date'!$B$1:$AK$302,MATCH($C6,'Last Date'!$B$2:$B$302,0)+1,0),0)</f>
        <v>0</v>
      </c>
      <c r="Z17" s="7">
        <f>IFERROR(HLOOKUP(Z5,'Last Date'!$B$1:$AK$302,MATCH($C6,'Last Date'!$B$2:$B$302,0)+1,0),0)</f>
        <v>0</v>
      </c>
      <c r="AA17" s="7">
        <f>IFERROR(HLOOKUP(AA5,'Last Date'!$B$1:$AK$302,MATCH($C6,'Last Date'!$B$2:$B$302,0)+1,0),0)</f>
        <v>0</v>
      </c>
      <c r="AB17" s="7">
        <f>IFERROR(HLOOKUP(AB5,'Last Date'!$B$1:$AK$302,MATCH($C6,'Last Date'!$B$2:$B$302,0)+1,0),0)</f>
        <v>0</v>
      </c>
      <c r="AC17" s="7">
        <f>IFERROR(HLOOKUP(AC5,'Last Date'!$B$1:$AK$302,MATCH($C6,'Last Date'!$B$2:$B$302,0)+1,0),0)</f>
        <v>0</v>
      </c>
      <c r="AD17" s="7">
        <f>IFERROR(HLOOKUP(AD5,'Last Date'!$B$1:$AK$302,MATCH($C6,'Last Date'!$B$2:$B$302,0)+1,0),0)</f>
        <v>0</v>
      </c>
    </row>
    <row r="18" spans="1:30" ht="14.25" x14ac:dyDescent="0.3">
      <c r="A18" s="123"/>
      <c r="B18" s="123"/>
      <c r="C18" s="123"/>
      <c r="D18" s="126"/>
      <c r="E18" s="5" t="s">
        <v>21</v>
      </c>
      <c r="F18" s="6" t="str">
        <f>C6&amp;E18</f>
        <v>EMM0001Stock +/-</v>
      </c>
      <c r="G18" s="21"/>
      <c r="H18" s="22"/>
      <c r="I18" s="21"/>
      <c r="J18" s="22"/>
      <c r="K18" s="21"/>
      <c r="L18" s="22"/>
      <c r="M18" s="21"/>
      <c r="N18" s="22"/>
      <c r="O18" s="21"/>
      <c r="P18" s="22"/>
      <c r="Q18" s="21"/>
      <c r="R18" s="22"/>
      <c r="S18" s="21"/>
      <c r="T18" s="22"/>
      <c r="U18" s="21"/>
      <c r="V18" s="22"/>
      <c r="W18" s="21"/>
      <c r="X18" s="22"/>
      <c r="Y18" s="22"/>
      <c r="Z18" s="22"/>
      <c r="AA18" s="22"/>
      <c r="AB18" s="22"/>
      <c r="AC18" s="22"/>
      <c r="AD18" s="22"/>
    </row>
    <row r="19" spans="1:30" ht="18" x14ac:dyDescent="0.3">
      <c r="A19" s="123"/>
      <c r="B19" s="124"/>
      <c r="C19" s="124"/>
      <c r="D19" s="127"/>
      <c r="E19" s="9" t="s">
        <v>12</v>
      </c>
      <c r="F19" s="6" t="str">
        <f>C6&amp;E19</f>
        <v>EMM0001DSI End Period</v>
      </c>
      <c r="G19" s="23">
        <f t="shared" ref="G19:AC19" ca="1" si="3">IFERROR(IF(OR(G9=0,H9=0,I9=0),IF(AND(H9=0,I9=0),G14/G9*30,IF(H9=0,G14/I9*30,G14/H9*30)),G14/AVERAGE(H9:I9)*30),0)</f>
        <v>0</v>
      </c>
      <c r="H19" s="23">
        <f t="shared" ca="1" si="3"/>
        <v>0</v>
      </c>
      <c r="I19" s="23">
        <f t="shared" ca="1" si="3"/>
        <v>0</v>
      </c>
      <c r="J19" s="23">
        <f t="shared" ca="1" si="3"/>
        <v>0</v>
      </c>
      <c r="K19" s="23">
        <f t="shared" ca="1" si="3"/>
        <v>0</v>
      </c>
      <c r="L19" s="23">
        <f t="shared" ca="1" si="3"/>
        <v>0</v>
      </c>
      <c r="M19" s="23">
        <f t="shared" ca="1" si="3"/>
        <v>0</v>
      </c>
      <c r="N19" s="23">
        <f t="shared" ca="1" si="3"/>
        <v>0</v>
      </c>
      <c r="O19" s="23">
        <f t="shared" ca="1" si="3"/>
        <v>0</v>
      </c>
      <c r="P19" s="23">
        <f t="shared" ca="1" si="3"/>
        <v>0</v>
      </c>
      <c r="Q19" s="23">
        <f t="shared" ca="1" si="3"/>
        <v>0</v>
      </c>
      <c r="R19" s="23">
        <f t="shared" ca="1" si="3"/>
        <v>0</v>
      </c>
      <c r="S19" s="23">
        <f t="shared" ca="1" si="3"/>
        <v>0</v>
      </c>
      <c r="T19" s="23">
        <f t="shared" ca="1" si="3"/>
        <v>0</v>
      </c>
      <c r="U19" s="23">
        <f t="shared" ca="1" si="3"/>
        <v>0</v>
      </c>
      <c r="V19" s="23">
        <f t="shared" ca="1" si="3"/>
        <v>0</v>
      </c>
      <c r="W19" s="23">
        <f t="shared" ca="1" si="3"/>
        <v>0</v>
      </c>
      <c r="X19" s="23">
        <f t="shared" ca="1" si="3"/>
        <v>0</v>
      </c>
      <c r="Y19" s="23">
        <f t="shared" ca="1" si="3"/>
        <v>0</v>
      </c>
      <c r="Z19" s="23">
        <f t="shared" ca="1" si="3"/>
        <v>0</v>
      </c>
      <c r="AA19" s="23">
        <f t="shared" ca="1" si="3"/>
        <v>0</v>
      </c>
      <c r="AB19" s="23">
        <f t="shared" ca="1" si="3"/>
        <v>0</v>
      </c>
      <c r="AC19" s="23">
        <f t="shared" ca="1" si="3"/>
        <v>0</v>
      </c>
      <c r="AD19" s="23">
        <f ca="1">IFERROR(AD14/AD9*30,0)</f>
        <v>0</v>
      </c>
    </row>
    <row r="20" spans="1:30" ht="14.25" x14ac:dyDescent="0.3">
      <c r="A20" s="124"/>
      <c r="B20" s="24" t="e">
        <f ca="1">DATE(YEAR($B$1),MONTH($B$1)+INDEX(MASTERDATA!$Q$3:$Q$302,MATCH(BRAND!C6,MASTERDATA!$L$3:$L$302,0)),DAY(1))</f>
        <v>#N/A</v>
      </c>
      <c r="C20" s="21" t="e">
        <f>IF(INDEX(MASTERDATA!$R$3:$R$302,MATCH(BRAND!C6,MASTERDATA!$L$3:$L$302,0)),"Safety DSI","Safety Stock")</f>
        <v>#N/A</v>
      </c>
      <c r="D20" s="22" t="e">
        <f>IF(C20="Safety DSI",INDEX(MASTERDATA!$R$3:$R$302,MATCH(BRAND!C6,MASTERDATA!$L$3:$L$302,0)),INDEX(MASTERDATA!$S$3:$S$302,MATCH(BRAND!C6,MASTERDATA!$L$3:$L$302,0)))</f>
        <v>#N/A</v>
      </c>
      <c r="E20" s="5" t="s">
        <v>13</v>
      </c>
      <c r="F20" s="6" t="str">
        <f>C6&amp;E20</f>
        <v>EMM0001SSL Stock</v>
      </c>
      <c r="G20" s="25" t="str">
        <f ca="1">IFERROR(IF(G5=$B$2,VLOOKUP($C6,Stock!$B:$C,2,0),""),0)</f>
        <v/>
      </c>
      <c r="H20" s="25" t="str">
        <f ca="1">IFERROR(IF(H5=$B$2,VLOOKUP($C6,Stock!$B:$C,2,0),""),0)</f>
        <v/>
      </c>
      <c r="I20" s="25" t="str">
        <f ca="1">IFERROR(IF(I5=$B$2,VLOOKUP($C6,Stock!$B:$C,2,0),""),0)</f>
        <v/>
      </c>
      <c r="J20" s="25" t="str">
        <f ca="1">IFERROR(IF(J5=$B$2,VLOOKUP($C6,Stock!$B:$C,2,0),""),0)</f>
        <v/>
      </c>
      <c r="K20" s="25" t="str">
        <f ca="1">IFERROR(IF(K5=$B$2,VLOOKUP($C6,Stock!$B:$C,2,0),""),0)</f>
        <v/>
      </c>
      <c r="L20" s="25" t="str">
        <f ca="1">IFERROR(IF(L5=$B$2,VLOOKUP($C6,Stock!$B:$C,2,0),""),0)</f>
        <v/>
      </c>
      <c r="M20" s="25" t="str">
        <f ca="1">IFERROR(IF(M5=$B$2,VLOOKUP($C6,Stock!$B:$C,2,0),""),0)</f>
        <v/>
      </c>
      <c r="N20" s="25" t="str">
        <f ca="1">IFERROR(IF(N5=$B$2,VLOOKUP($C6,Stock!$B:$C,2,0),""),0)</f>
        <v/>
      </c>
      <c r="O20" s="25">
        <f ca="1">IFERROR(IF(O5=$B$2,VLOOKUP($C6,Stock!$B:$C,2,0),""),0)</f>
        <v>0</v>
      </c>
      <c r="P20" s="25" t="str">
        <f ca="1">IFERROR(IF(P5=$B$2,VLOOKUP($C6,Stock!$B:$C,2,0),""),0)</f>
        <v/>
      </c>
      <c r="Q20" s="25" t="str">
        <f ca="1">IFERROR(IF(Q5=$B$2,VLOOKUP($C6,Stock!$B:$C,2,0),""),0)</f>
        <v/>
      </c>
      <c r="R20" s="25" t="str">
        <f ca="1">IFERROR(IF(R5=$B$2,VLOOKUP($C6,Stock!$B:$C,2,0),""),0)</f>
        <v/>
      </c>
      <c r="S20" s="25" t="str">
        <f ca="1">IFERROR(IF(S5=$B$2,VLOOKUP($C6,Stock!$B:$C,2,0),""),0)</f>
        <v/>
      </c>
      <c r="T20" s="25" t="str">
        <f ca="1">IFERROR(IF(T5=$B$2,VLOOKUP($C6,Stock!$B:$C,2,0),""),0)</f>
        <v/>
      </c>
      <c r="U20" s="25" t="str">
        <f ca="1">IFERROR(IF(U5=$B$2,VLOOKUP($C6,Stock!$B:$C,2,0),""),0)</f>
        <v/>
      </c>
      <c r="V20" s="25" t="str">
        <f ca="1">IFERROR(IF(V5=$B$2,VLOOKUP($C6,Stock!$B:$C,2,0),""),0)</f>
        <v/>
      </c>
      <c r="W20" s="25" t="str">
        <f ca="1">IFERROR(IF(W5=$B$2,VLOOKUP($C6,Stock!$B:$C,2,0),""),0)</f>
        <v/>
      </c>
      <c r="X20" s="25" t="str">
        <f ca="1">IFERROR(IF(X5=$B$2,VLOOKUP($C6,Stock!$B:$C,2,0),""),0)</f>
        <v/>
      </c>
      <c r="Y20" s="25" t="str">
        <f ca="1">IFERROR(IF(Y5=$B$2,VLOOKUP($C6,Stock!$B:$C,2,0),""),0)</f>
        <v/>
      </c>
      <c r="Z20" s="25" t="str">
        <f ca="1">IFERROR(IF(Z5=$B$2,VLOOKUP($C6,Stock!$B:$C,2,0),""),0)</f>
        <v/>
      </c>
      <c r="AA20" s="25" t="str">
        <f ca="1">IFERROR(IF(AA5=$B$2,VLOOKUP($C6,Stock!$B:$C,2,0),""),0)</f>
        <v/>
      </c>
      <c r="AB20" s="25" t="str">
        <f ca="1">IFERROR(IF(AB5=$B$2,VLOOKUP($C6,Stock!$B:$C,2,0),""),0)</f>
        <v/>
      </c>
      <c r="AC20" s="25" t="str">
        <f ca="1">IFERROR(IF(AC5=$B$2,VLOOKUP($C6,Stock!$B:$C,2,0),""),0)</f>
        <v/>
      </c>
      <c r="AD20" s="25" t="str">
        <f ca="1">IFERROR(IF(AD5=$B$2,VLOOKUP($C6,Stock!$B:$C,2,0),""),0)</f>
        <v/>
      </c>
    </row>
  </sheetData>
  <mergeCells count="4">
    <mergeCell ref="A5:A20"/>
    <mergeCell ref="B6:B19"/>
    <mergeCell ref="C6:C19"/>
    <mergeCell ref="D6:D19"/>
  </mergeCells>
  <phoneticPr fontId="3" type="noConversion"/>
  <conditionalFormatting sqref="G12:AD12">
    <cfRule type="expression" dxfId="21" priority="7569">
      <formula>G5=$B20</formula>
    </cfRule>
  </conditionalFormatting>
  <conditionalFormatting sqref="G11:AD11">
    <cfRule type="expression" dxfId="20" priority="7570">
      <formula>G5=$B20</formula>
    </cfRule>
  </conditionalFormatting>
  <conditionalFormatting sqref="G16:AD16">
    <cfRule type="cellIs" dxfId="19" priority="7575" operator="lessThan">
      <formula>0</formula>
    </cfRule>
  </conditionalFormatting>
  <conditionalFormatting sqref="G19:AD19">
    <cfRule type="cellIs" dxfId="18" priority="7572" operator="between">
      <formula>20</formula>
      <formula>59.99</formula>
    </cfRule>
    <cfRule type="cellIs" dxfId="17" priority="7573" operator="greaterThan">
      <formula>60</formula>
    </cfRule>
    <cfRule type="cellIs" dxfId="16" priority="7574" operator="lessThanOrEqual">
      <formula>19.99</formula>
    </cfRule>
  </conditionalFormatting>
  <conditionalFormatting sqref="G5:AD5">
    <cfRule type="cellIs" dxfId="15" priority="7577" operator="equal">
      <formula>$B20</formula>
    </cfRule>
    <cfRule type="cellIs" dxfId="14" priority="7578" operator="equal">
      <formula>$B$2</formula>
    </cfRule>
  </conditionalFormatting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Pip">
                <anchor moveWithCells="1" sizeWithCells="1">
                  <from>
                    <xdr:col>2</xdr:col>
                    <xdr:colOff>57150</xdr:colOff>
                    <xdr:row>0</xdr:row>
                    <xdr:rowOff>28575</xdr:rowOff>
                  </from>
                  <to>
                    <xdr:col>2</xdr:col>
                    <xdr:colOff>1095375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etQTY">
                <anchor moveWithCells="1" sizeWithCells="1">
                  <from>
                    <xdr:col>12</xdr:col>
                    <xdr:colOff>647700</xdr:colOff>
                    <xdr:row>0</xdr:row>
                    <xdr:rowOff>19050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nDSI">
                <anchor moveWithCells="1" sizeWithCells="1">
                  <from>
                    <xdr:col>14</xdr:col>
                    <xdr:colOff>19050</xdr:colOff>
                    <xdr:row>0</xdr:row>
                    <xdr:rowOff>9525</xdr:rowOff>
                  </from>
                  <to>
                    <xdr:col>14</xdr:col>
                    <xdr:colOff>638175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nForcedQTY">
                <anchor moveWithCells="1" sizeWithCells="1">
                  <from>
                    <xdr:col>15</xdr:col>
                    <xdr:colOff>19050</xdr:colOff>
                    <xdr:row>0</xdr:row>
                    <xdr:rowOff>9525</xdr:rowOff>
                  </from>
                  <to>
                    <xdr:col>15</xdr:col>
                    <xdr:colOff>619125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D14"/>
  <sheetViews>
    <sheetView zoomScale="70" zoomScaleNormal="70" workbookViewId="0">
      <selection activeCell="E27" sqref="E27"/>
    </sheetView>
  </sheetViews>
  <sheetFormatPr defaultRowHeight="13.5" x14ac:dyDescent="0.3"/>
  <cols>
    <col min="1" max="1" width="9" customWidth="1"/>
    <col min="2" max="2" width="10.1328125" customWidth="1"/>
    <col min="3" max="3" width="14.86328125" customWidth="1"/>
    <col min="5" max="5" width="16.73046875" customWidth="1"/>
    <col min="6" max="6" width="32.3984375" hidden="1" customWidth="1"/>
    <col min="7" max="8" width="9.1328125" customWidth="1"/>
    <col min="9" max="9" width="10.1328125" customWidth="1"/>
    <col min="10" max="10" width="9.1328125" customWidth="1"/>
    <col min="11" max="11" width="10.3984375" customWidth="1"/>
    <col min="12" max="13" width="9.1328125" customWidth="1"/>
    <col min="14" max="14" width="9.73046875" customWidth="1"/>
    <col min="17" max="17" width="9.86328125" bestFit="1" customWidth="1"/>
    <col min="19" max="19" width="9.1328125" customWidth="1"/>
    <col min="21" max="21" width="10.1328125" bestFit="1" customWidth="1"/>
    <col min="23" max="23" width="10.3984375" bestFit="1" customWidth="1"/>
    <col min="26" max="26" width="9.73046875" bestFit="1" customWidth="1"/>
    <col min="29" max="29" width="9.86328125" bestFit="1" customWidth="1"/>
  </cols>
  <sheetData>
    <row r="1" spans="1:30" ht="58.5" customHeight="1" x14ac:dyDescent="0.3">
      <c r="B1" s="96">
        <f ca="1">TODAY()</f>
        <v>43003</v>
      </c>
    </row>
    <row r="2" spans="1:30" x14ac:dyDescent="0.3">
      <c r="B2" s="96">
        <f ca="1">DATE(YEAR(B1),MONTH(B1),DAY(1))</f>
        <v>42979</v>
      </c>
    </row>
    <row r="3" spans="1:30" x14ac:dyDescent="0.3">
      <c r="F3" t="s">
        <v>99</v>
      </c>
    </row>
    <row r="4" spans="1:30" ht="24.75" customHeight="1" thickBot="1" x14ac:dyDescent="0.35"/>
    <row r="5" spans="1:30" ht="21" x14ac:dyDescent="0.3">
      <c r="A5" s="128" t="e">
        <f>INDEX(MASTERDATA!$AF$3:$AF$302,MATCH(C6,MASTERDATA!$L$3:$L$302,0))</f>
        <v>#N/A</v>
      </c>
      <c r="B5" s="88" t="s">
        <v>16</v>
      </c>
      <c r="C5" s="1" t="s">
        <v>17</v>
      </c>
      <c r="D5" s="2" t="s">
        <v>18</v>
      </c>
      <c r="E5" s="1" t="s">
        <v>19</v>
      </c>
      <c r="F5" s="3" t="s">
        <v>20</v>
      </c>
      <c r="G5" s="4">
        <v>42736</v>
      </c>
      <c r="H5" s="4">
        <v>42767</v>
      </c>
      <c r="I5" s="4">
        <v>42795</v>
      </c>
      <c r="J5" s="4">
        <v>42826</v>
      </c>
      <c r="K5" s="4">
        <v>42856</v>
      </c>
      <c r="L5" s="4">
        <v>42887</v>
      </c>
      <c r="M5" s="4">
        <v>42917</v>
      </c>
      <c r="N5" s="4">
        <v>42948</v>
      </c>
      <c r="O5" s="4">
        <v>42979</v>
      </c>
      <c r="P5" s="4">
        <v>43009</v>
      </c>
      <c r="Q5" s="4">
        <v>43040</v>
      </c>
      <c r="R5" s="4">
        <v>43070</v>
      </c>
      <c r="S5" s="4">
        <v>43101</v>
      </c>
      <c r="T5" s="4">
        <v>43132</v>
      </c>
      <c r="U5" s="4">
        <v>43160</v>
      </c>
      <c r="V5" s="4">
        <v>43191</v>
      </c>
      <c r="W5" s="4">
        <v>43221</v>
      </c>
      <c r="X5" s="4">
        <v>43252</v>
      </c>
      <c r="Y5" s="4">
        <v>43282</v>
      </c>
      <c r="Z5" s="4">
        <v>43313</v>
      </c>
      <c r="AA5" s="4">
        <v>43344</v>
      </c>
      <c r="AB5" s="4">
        <v>43374</v>
      </c>
      <c r="AC5" s="4">
        <v>43405</v>
      </c>
      <c r="AD5" s="4">
        <v>43435</v>
      </c>
    </row>
    <row r="6" spans="1:30" ht="14.25" x14ac:dyDescent="0.3">
      <c r="A6" s="129"/>
      <c r="B6" s="131" t="e">
        <f>INDEX(MASTERDATA!$C$3:$C$302,MATCH(C6,MASTERDATA!$L$3:$L$302,0))</f>
        <v>#N/A</v>
      </c>
      <c r="C6" s="122" t="s">
        <v>239</v>
      </c>
      <c r="D6" s="125" t="e">
        <f>INDEX(MASTERDATA!$N$3:$N$302,MATCH(C6,MASTERDATA!$L$3:$L$302,0))</f>
        <v>#N/A</v>
      </c>
      <c r="E6" s="9" t="s">
        <v>1</v>
      </c>
      <c r="F6" s="94" t="str">
        <f>C6&amp;E6</f>
        <v>EMM0014ASP3Forecast</v>
      </c>
      <c r="G6" s="11">
        <f>IFERROR(HLOOKUP(G5,Forecast!$B$1:$AK$302,MATCH($C6,Forecast!$B$2:$B$302,0)+1,0),0)</f>
        <v>0</v>
      </c>
      <c r="H6" s="11">
        <f>IFERROR(HLOOKUP(H5,Forecast!$B$1:$AK$302,MATCH($C6,Forecast!$D$2:$D$302,0)+1,0),0)</f>
        <v>0</v>
      </c>
      <c r="I6" s="11">
        <f>IFERROR(HLOOKUP(I5,Forecast!$B$1:$AK$302,MATCH($C6,Forecast!$F$2:$F$302,0)+1,0),0)</f>
        <v>0</v>
      </c>
      <c r="J6" s="11">
        <f>IFERROR(HLOOKUP(J5,Forecast!$B$1:$AK$302,MATCH($C6,Forecast!$H$2:$H$302,0)+1,0),0)</f>
        <v>0</v>
      </c>
      <c r="K6" s="11">
        <f>IFERROR(HLOOKUP(K5,Forecast!$B$1:$AK$302,MATCH($C6,Forecast!$J$2:$J$302,0)+1,0),0)</f>
        <v>0</v>
      </c>
      <c r="L6" s="11">
        <f>IFERROR(HLOOKUP(L5,Forecast!$B$1:$AK$302,MATCH($C6,Forecast!$L$2:$L$302,0)+1,0),0)</f>
        <v>0</v>
      </c>
      <c r="M6" s="11">
        <f>IFERROR(HLOOKUP(M5,Forecast!$B$1:$AK$302,MATCH($C6,Forecast!$N$2:$N$302,0)+1,0),0)</f>
        <v>0</v>
      </c>
      <c r="N6" s="11">
        <f>IFERROR(HLOOKUP(N5,Forecast!$B$1:$AK$302,MATCH($C6,Forecast!$P$2:$P$302,0)+1,0),0)</f>
        <v>0</v>
      </c>
      <c r="O6" s="11">
        <f>IFERROR(HLOOKUP(O5,Forecast!$B$1:$AK$302,MATCH($C6,Forecast!$R$2:$R$302,0)+1,0),0)</f>
        <v>0</v>
      </c>
      <c r="P6" s="11">
        <f>IFERROR(HLOOKUP(P5,Forecast!$B$1:$AK$302,MATCH($C6,Forecast!$T$2:$T$302,0)+1,0),0)</f>
        <v>0</v>
      </c>
      <c r="Q6" s="11">
        <f>IFERROR(HLOOKUP(Q5,Forecast!$B$1:$AK$302,MATCH($C6,Forecast!$V$2:$V$302,0)+1,0),0)</f>
        <v>0</v>
      </c>
      <c r="R6" s="11">
        <f>IFERROR(HLOOKUP(R5,Forecast!$B$1:$AK$302,MATCH($C6,Forecast!$X$2:$X$302,0)+1,0),0)</f>
        <v>0</v>
      </c>
      <c r="S6" s="11">
        <f>IFERROR(HLOOKUP(S5,Forecast!$B$1:$AK$302,MATCH($C6,Forecast!$Z$2:$Z$302,0)+1,0),0)</f>
        <v>0</v>
      </c>
      <c r="T6" s="11">
        <f>IFERROR(HLOOKUP(T5,Forecast!$B$1:$AK$302,MATCH($C6,Forecast!$AB$2:$AB$302,0)+1,0),0)</f>
        <v>0</v>
      </c>
      <c r="U6" s="11">
        <f>IFERROR(HLOOKUP(U5,Forecast!$B$1:$AK$302,MATCH($C6,Forecast!$AD$2:$AD$302,0)+1,0),0)</f>
        <v>0</v>
      </c>
      <c r="V6" s="11">
        <f>IFERROR(HLOOKUP(V5,Forecast!$B$1:$AK$302,MATCH($C6,Forecast!$AF$2:$AF$302,0)+1,0),0)</f>
        <v>0</v>
      </c>
      <c r="W6" s="11">
        <f>IFERROR(HLOOKUP(W5,Forecast!$B$1:$AK$302,MATCH($C6,Forecast!$AH$2:$AH$302,0)+1,0),0)</f>
        <v>0</v>
      </c>
      <c r="X6" s="20">
        <f>IFERROR(HLOOKUP(X5,Forecast!$B$1:$AK$302,MATCH($C6,Forecast!$AJ$2:$AJ$302,0)+1,0),0)</f>
        <v>0</v>
      </c>
      <c r="Y6" s="20">
        <f>IFERROR(HLOOKUP(Y5,Forecast!$B$1:$AK$302,MATCH($C6,Forecast!$AL$2:$AL$302,0)+1,0),0)</f>
        <v>0</v>
      </c>
      <c r="Z6" s="20">
        <f>IFERROR(HLOOKUP(Z5,Forecast!$B$1:$AK$302,MATCH($C6,Forecast!$AN$2:$AN$302,0)+1,0),0)</f>
        <v>0</v>
      </c>
      <c r="AA6" s="20">
        <f>IFERROR(HLOOKUP(AA5,Forecast!$B$1:$AK$302,MATCH($C6,Forecast!$AP$2:$AP$302,0)+1,0),0)</f>
        <v>0</v>
      </c>
      <c r="AB6" s="20">
        <f>IFERROR(HLOOKUP(AB5,Forecast!$B$1:$AK$302,MATCH($C6,Forecast!$AR$2:$AR$302,0)+1,0),0)</f>
        <v>0</v>
      </c>
      <c r="AC6" s="20">
        <f>IFERROR(HLOOKUP(AC5,Forecast!$B$1:$AK$302,MATCH($C6,Forecast!$AT$2:$AT$302,0)+1,0),0)</f>
        <v>0</v>
      </c>
      <c r="AD6" s="20">
        <f>IFERROR(HLOOKUP(AD5,Forecast!$B$1:$AK$302,MATCH($C6,Forecast!$AV$2:$AV$302,0)+1,0),0)</f>
        <v>0</v>
      </c>
    </row>
    <row r="7" spans="1:30" ht="14.25" x14ac:dyDescent="0.3">
      <c r="A7" s="129"/>
      <c r="B7" s="132"/>
      <c r="C7" s="123"/>
      <c r="D7" s="126"/>
      <c r="E7" s="9" t="s">
        <v>4</v>
      </c>
      <c r="F7" s="6" t="str">
        <f>C6&amp;E7</f>
        <v>EMM0014ASP3Sales</v>
      </c>
      <c r="G7" s="7">
        <f ca="1">IF(G5&lt;=$B$2,IFERROR(HLOOKUP(G5,Sales!$B$1:$AK$302,MATCH($C6,Sales!$B$2:$B$301,0)+1,0),0),"")</f>
        <v>0</v>
      </c>
      <c r="H7" s="7">
        <f ca="1">IF(H5&lt;=$B$2,IFERROR(HLOOKUP(H5,Sales!$B$1:$AK$302,MATCH($C6,Sales!$D$2:$D$301,0)+1,0),0),"")</f>
        <v>0</v>
      </c>
      <c r="I7" s="7">
        <f ca="1">IF(I5&lt;=$B$2,IFERROR(HLOOKUP(I5,Sales!$B$1:$AK$302,MATCH($C6,Sales!$F$2:$F$301,0)+1,0),0),"")</f>
        <v>0</v>
      </c>
      <c r="J7" s="7">
        <f ca="1">IF(J5&lt;=$B$2,IFERROR(HLOOKUP(J5,Sales!$B$1:$AK$302,MATCH($C6,Sales!$H$2:$H$301,0)+1,0),0),"")</f>
        <v>0</v>
      </c>
      <c r="K7" s="7">
        <f ca="1">IF(K5&lt;=$B$2,IFERROR(HLOOKUP(K5,Sales!$B$1:$AK$302,MATCH($C6,Sales!$J$2:$J$301,0)+1,0),0),"")</f>
        <v>0</v>
      </c>
      <c r="L7" s="7">
        <f ca="1">IF(L5&lt;=$B$2,IFERROR(HLOOKUP(L5,Sales!$B$1:$AK$302,MATCH($C6,Sales!$L$2:$L$301,0)+1,0),0),"")</f>
        <v>0</v>
      </c>
      <c r="M7" s="7">
        <f ca="1">IF(M5&lt;=$B$2,IFERROR(HLOOKUP(M5,Sales!$B$1:$AK$302,MATCH($C6,Sales!$N$2:$N$301,0)+1,0),0),"")</f>
        <v>0</v>
      </c>
      <c r="N7" s="7">
        <f ca="1">IF(N5&lt;=$B$2,IFERROR(HLOOKUP(N5,Sales!$B$1:$AK$302,MATCH($C6,Sales!$P$2:$P$301,0)+1,0),0),"")</f>
        <v>0</v>
      </c>
      <c r="O7" s="7">
        <f ca="1">IF(O5&lt;=$B$2,IFERROR(HLOOKUP(O5,Sales!$B$1:$AK$302,MATCH($C6,Sales!$R$2:$R$301,0)+1,0),0),"")</f>
        <v>0</v>
      </c>
      <c r="P7" s="7" t="str">
        <f ca="1">IF(P5&lt;=$B$2,IFERROR(HLOOKUP(P5,Sales!$B$1:$AK$302,MATCH($C6,Sales!$T$2:$T$302,0)+1,0),0),"")</f>
        <v/>
      </c>
      <c r="Q7" s="7" t="str">
        <f ca="1">IF(Q5&lt;=$B$2,IFERROR(HLOOKUP(Q5,Sales!$B$1:$AK$302,MATCH($C6,Sales!$V$2:$V$302,0)+1,0),0),"")</f>
        <v/>
      </c>
      <c r="R7" s="7" t="str">
        <f ca="1">IF(R5&lt;=$B$2,IFERROR(HLOOKUP(R5,Sales!$B$1:$AK$302,MATCH($C6,Sales!$X$2:$X$302,0)+1,0),0),"")</f>
        <v/>
      </c>
      <c r="S7" s="7" t="str">
        <f ca="1">IF(S5&lt;=$B$2,IFERROR(HLOOKUP(S5,Sales!$B$1:$AK$302,MATCH($C6,Sales!$Z$2:$Z$302,0)+1,0),0),"")</f>
        <v/>
      </c>
      <c r="T7" s="7" t="str">
        <f ca="1">IF(T5&lt;=$B$2,IFERROR(HLOOKUP(T5,Sales!$B$1:$AK$302,MATCH($C6,Sales!$AB$2:$AB$302,0)+1,0),0),"")</f>
        <v/>
      </c>
      <c r="U7" s="7" t="str">
        <f ca="1">IF(U5&lt;=$B$2,IFERROR(HLOOKUP(U5,Sales!$B$1:$AK$302,MATCH($C6,Sales!$AD$2:$AD$302,0)+1,0),0),"")</f>
        <v/>
      </c>
      <c r="V7" s="7" t="str">
        <f ca="1">IF(V5&lt;=$B$2,IFERROR(HLOOKUP(V5,Sales!$B$1:$AK$302,MATCH($C6,Sales!$AF$2:$AF$302,0)+1,0),0),"")</f>
        <v/>
      </c>
      <c r="W7" s="7" t="str">
        <f ca="1">IF(W5&lt;=$B$2,IFERROR(HLOOKUP(W5,Sales!$B$1:$AK$302,MATCH($C6,Sales!$AH$2:$AH$302,0)+1,0),0),"")</f>
        <v/>
      </c>
      <c r="X7" s="7" t="str">
        <f ca="1">IF(X5&lt;=$B$2,IFERROR(HLOOKUP(X5,Sales!$B$1:$AK$302,MATCH($C6,Sales!$AJ$2:$AJ$302,0)+1,0),0),"")</f>
        <v/>
      </c>
      <c r="Y7" s="7" t="str">
        <f ca="1">IF(Y5&lt;=$B$2,IFERROR(HLOOKUP(Y5,Sales!$B$1:$AK$302,MATCH($C6,Sales!$AL$2:$AL$302,0)+1,0),0),"")</f>
        <v/>
      </c>
      <c r="Z7" s="7" t="str">
        <f ca="1">IF(Z5&lt;=$B$2,IFERROR(HLOOKUP(Z5,Sales!$B$1:$AK$302,MATCH($C6,Sales!$AN$2:$AN$302,0)+1,0),0),"")</f>
        <v/>
      </c>
      <c r="AA7" s="7" t="str">
        <f ca="1">IF(AA5&lt;=$B$2,IFERROR(HLOOKUP(AA5,Sales!$B$1:$AK$302,MATCH($C6,Sales!$AP$2:$AP$302,0)+1,0),0),"")</f>
        <v/>
      </c>
      <c r="AB7" s="7" t="str">
        <f ca="1">IF(AB5&lt;=$B$2,IFERROR(HLOOKUP(AB5,Sales!$B$1:$AK$302,MATCH($C6,Sales!$AR$2:$AR$302,0)+1,0),0),"")</f>
        <v/>
      </c>
      <c r="AC7" s="7" t="str">
        <f ca="1">IF(AC5&lt;=$B$2,IFERROR(HLOOKUP(AC5,Sales!$B$1:$AK$302,MATCH($C6,Sales!$AT$2:$AT$302,0)+1,0),0),"")</f>
        <v/>
      </c>
      <c r="AD7" s="7" t="str">
        <f ca="1">IF(AD5&lt;=$B$2,IFERROR(HLOOKUP(AD5,Sales!$B$1:$AK$302,MATCH($C6,Sales!$AV$2:$AV$302,0)+1,0),0),"")</f>
        <v/>
      </c>
    </row>
    <row r="8" spans="1:30" ht="14.25" x14ac:dyDescent="0.3">
      <c r="A8" s="129"/>
      <c r="B8" s="132"/>
      <c r="C8" s="123"/>
      <c r="D8" s="126"/>
      <c r="E8" s="93" t="s">
        <v>96</v>
      </c>
      <c r="F8" s="83" t="str">
        <f>C6&amp;E8</f>
        <v>EMM0014ASP3New PO-Order QTY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1:30" ht="14.25" x14ac:dyDescent="0.3">
      <c r="A9" s="129"/>
      <c r="B9" s="132"/>
      <c r="C9" s="123"/>
      <c r="D9" s="126"/>
      <c r="E9" s="5" t="s">
        <v>8</v>
      </c>
      <c r="F9" s="82" t="str">
        <f>C6&amp;E9</f>
        <v>EMM0014ASP3Stock End Period</v>
      </c>
      <c r="G9" s="7">
        <f ca="1">SUM(IF(G5&gt;$B$2,IF(F9&gt;0,F9,0),G10),G8,-IF(G5=$B$2,IF(G6&gt;G7,G6-G7,0),IF(G5&gt;$B$2,G6)),G13)</f>
        <v>0</v>
      </c>
      <c r="H9" s="7">
        <f t="shared" ref="H9:AD9" ca="1" si="0">SUM(IF(H5&gt;$B$2,IF(G9&gt;0,G9,0),H10),H8,-IF(H5=$B$2,IF(H6&gt;H7,H6-H7,0),IF(H5&gt;$B$2,H6)),H13)</f>
        <v>0</v>
      </c>
      <c r="I9" s="7">
        <f t="shared" ca="1" si="0"/>
        <v>0</v>
      </c>
      <c r="J9" s="7">
        <f t="shared" ca="1" si="0"/>
        <v>0</v>
      </c>
      <c r="K9" s="7">
        <f t="shared" ca="1" si="0"/>
        <v>0</v>
      </c>
      <c r="L9" s="7">
        <f t="shared" ca="1" si="0"/>
        <v>0</v>
      </c>
      <c r="M9" s="7">
        <f t="shared" ca="1" si="0"/>
        <v>0</v>
      </c>
      <c r="N9" s="7">
        <f t="shared" ca="1" si="0"/>
        <v>0</v>
      </c>
      <c r="O9" s="7">
        <f t="shared" ca="1" si="0"/>
        <v>0</v>
      </c>
      <c r="P9" s="7">
        <f t="shared" ca="1" si="0"/>
        <v>0</v>
      </c>
      <c r="Q9" s="7">
        <f t="shared" ca="1" si="0"/>
        <v>0</v>
      </c>
      <c r="R9" s="7">
        <f t="shared" ca="1" si="0"/>
        <v>0</v>
      </c>
      <c r="S9" s="7">
        <f t="shared" ca="1" si="0"/>
        <v>0</v>
      </c>
      <c r="T9" s="7">
        <f t="shared" ca="1" si="0"/>
        <v>0</v>
      </c>
      <c r="U9" s="7">
        <f t="shared" ca="1" si="0"/>
        <v>0</v>
      </c>
      <c r="V9" s="7">
        <f t="shared" ca="1" si="0"/>
        <v>0</v>
      </c>
      <c r="W9" s="7">
        <f t="shared" ca="1" si="0"/>
        <v>0</v>
      </c>
      <c r="X9" s="7">
        <f t="shared" ca="1" si="0"/>
        <v>0</v>
      </c>
      <c r="Y9" s="7">
        <f t="shared" ca="1" si="0"/>
        <v>0</v>
      </c>
      <c r="Z9" s="7">
        <f t="shared" ca="1" si="0"/>
        <v>0</v>
      </c>
      <c r="AA9" s="7">
        <f t="shared" ca="1" si="0"/>
        <v>0</v>
      </c>
      <c r="AB9" s="7">
        <f t="shared" ca="1" si="0"/>
        <v>0</v>
      </c>
      <c r="AC9" s="7">
        <f t="shared" ca="1" si="0"/>
        <v>0</v>
      </c>
      <c r="AD9" s="7">
        <f t="shared" ca="1" si="0"/>
        <v>0</v>
      </c>
    </row>
    <row r="10" spans="1:30" ht="14.25" x14ac:dyDescent="0.3">
      <c r="A10" s="129"/>
      <c r="B10" s="132"/>
      <c r="C10" s="123"/>
      <c r="D10" s="126"/>
      <c r="E10" s="9" t="s">
        <v>9</v>
      </c>
      <c r="F10" s="6" t="str">
        <f>C6&amp;E10</f>
        <v>EMM0014ASP3Available Stock</v>
      </c>
      <c r="G10" s="7">
        <f ca="1">IF(G5&lt;=$B$2,IFERROR(HLOOKUP(G5,Stock!$E$1:$AN$302,MATCH($C6,Stock!$E$2:$E$302,0)+1,0),0)+IFERROR(HLOOKUP(G5,'Stock Transfer'!$E$1:$AN$302,MATCH($C6,'Stock Transfer'!$E$2:$E$301,0)+1,0),0),"")</f>
        <v>0</v>
      </c>
      <c r="H10" s="7">
        <f ca="1">IF(H5&lt;=$B$2,IFERROR(HLOOKUP(H5,Stock!$E$1:$AN$302,MATCH($C6,Stock!$G$2:$G$302,0)+1,0),0)+IFERROR(HLOOKUP(H5,'Stock Transfer'!$E$1:$AN$302,MATCH($C6,'Stock Transfer'!$G$2:$G$301,0)+1,0),0),"")</f>
        <v>0</v>
      </c>
      <c r="I10" s="7">
        <f ca="1">IF(I5&lt;=$B$2,IFERROR(HLOOKUP(I5,Stock!$E$1:$AN$302,MATCH($C6,Stock!$I$2:$I$302,0)+1,0),0)+IFERROR(HLOOKUP(I5,'Stock Transfer'!$E$1:$AN$302,MATCH($C6,'Stock Transfer'!$I$2:$I$301,0)+1,0),0),"")</f>
        <v>0</v>
      </c>
      <c r="J10" s="7">
        <f ca="1">IF(J5&lt;=$B$2,IFERROR(HLOOKUP(J5,Stock!$E$1:$AN$302,MATCH($C6,Stock!$K$2:$K$302,0)+1,0),0)+IFERROR(HLOOKUP(J5,'Stock Transfer'!$E$1:$AN$302,MATCH($C6,'Stock Transfer'!$K$2:$K$301,0)+1,0),0),"")</f>
        <v>0</v>
      </c>
      <c r="K10" s="7">
        <f ca="1">IF(K5&lt;=$B$2,IFERROR(HLOOKUP(K5,Stock!$E$1:$AN$302,MATCH($C6,Stock!$M$2:$M$302,0)+1,0),0)+IFERROR(HLOOKUP(K5,'Stock Transfer'!$E$1:$AN$302,MATCH($C6,'Stock Transfer'!$M$2:$M$301,0)+1,0),0),"")</f>
        <v>0</v>
      </c>
      <c r="L10" s="7">
        <f ca="1">IF(L5&lt;=$B$2,IFERROR(HLOOKUP(L5,Stock!$E$1:$AN$302,MATCH($C6,Stock!$O$2:$O$302,0)+1,0),0)+IFERROR(HLOOKUP(L5,'Stock Transfer'!$E$1:$AN$302,MATCH($C6,'Stock Transfer'!$O$2:$O$301,0)+1,0),0),"")</f>
        <v>0</v>
      </c>
      <c r="M10" s="7">
        <f ca="1">IF(M5&lt;=$B$2,IFERROR(HLOOKUP(M5,Stock!$E$1:$AN$302,MATCH($C6,Stock!$Q$2:$Q$302,0)+1,0),0)+IFERROR(HLOOKUP(M5,'Stock Transfer'!$E$1:$AN$302,MATCH($C6,'Stock Transfer'!$Q$2:$Q$301,0)+1,0),0),"")</f>
        <v>0</v>
      </c>
      <c r="N10" s="7">
        <f ca="1">IF(N5&lt;=$B$2,IFERROR(HLOOKUP(N5,Stock!$E$1:$AN$302,MATCH($C6,Stock!$S$2:$S$302,0)+1,0),0)+IFERROR(HLOOKUP(N5,'Stock Transfer'!$E$1:$AN$302,MATCH($C6,'Stock Transfer'!$S$2:$S$301,0)+1,0),0),"")</f>
        <v>0</v>
      </c>
      <c r="O10" s="7">
        <f ca="1">IF(O5&lt;=$B$2,IFERROR(HLOOKUP(O5,Stock!$E$1:$AN$302,MATCH($C6,Stock!$U$2:$U$302,0)+1,0),0)+IFERROR(HLOOKUP(O5,'Stock Transfer'!$E$1:$AN$302,MATCH($C6,'Stock Transfer'!$U$2:$U$301,0)+1,0),0),"")</f>
        <v>0</v>
      </c>
      <c r="P10" s="7" t="str">
        <f ca="1">IF(P5&lt;=$B$2,IFERROR(HLOOKUP(P5,Stock!$E$1:$AN$302,MATCH($C6,Stock!$W$2:$W$302,0)+1,0),0)+IFERROR(HLOOKUP(P5,'Stock Transfer'!$E$1:$AN$302,MATCH($C6,'Stock Transfer'!$W$2:$W$302,0)+1,0),0),"")</f>
        <v/>
      </c>
      <c r="Q10" s="7" t="str">
        <f ca="1">IF(Q5&lt;=$B$2,IFERROR(HLOOKUP(Q5,Stock!$E$1:$AN$302,MATCH($C6,Stock!$Y$2:$Y$302,0)+1,0),0)+IFERROR(HLOOKUP(Q5,'Stock Transfer'!$E$1:$AN$302,MATCH($C6,'Stock Transfer'!$Y$2:$Y$302,0)+1,0),0),"")</f>
        <v/>
      </c>
      <c r="R10" s="7" t="str">
        <f ca="1">IF(R5&lt;=$B$2,IFERROR(HLOOKUP(R5,Stock!$E$1:$AN$302,MATCH($C6,Stock!$AA$2:$AA$302,0)+1,0),0)+IFERROR(HLOOKUP(R5,'Stock Transfer'!$E$1:$AN$302,MATCH($C6,'Stock Transfer'!$AA$2:$AA$302,0)+1,0),0),"")</f>
        <v/>
      </c>
      <c r="S10" s="7" t="str">
        <f ca="1">IF(S5&lt;=$B$2,IFERROR(HLOOKUP(S5,Stock!$E$1:$AN$302,MATCH($C6,Stock!$AC$2:$AC$302,0)+1,0),0)+IFERROR(HLOOKUP(S5,'Stock Transfer'!$E$1:$AN$302,MATCH($C6,'Stock Transfer'!$AC$2:$AC$302,0)+1,0),0),"")</f>
        <v/>
      </c>
      <c r="T10" s="7" t="str">
        <f ca="1">IF(T5&lt;=$B$2,IFERROR(HLOOKUP(T5,Stock!$E$1:$AN$302,MATCH($C6,Stock!$AE$2:$AE$302,0)+1,0),0)+IFERROR(HLOOKUP(T5,'Stock Transfer'!$E$1:$AN$302,MATCH($C6,'Stock Transfer'!$AE$2:$AE$302,0)+1,0),0),"")</f>
        <v/>
      </c>
      <c r="U10" s="7" t="str">
        <f ca="1">IF(U5&lt;=$B$2,IFERROR(HLOOKUP(U5,Stock!$E$1:$AN$302,MATCH($C6,Stock!$AG$2:$AG$302,0)+1,0),0)+IFERROR(HLOOKUP(U5,'Stock Transfer'!$E$1:$AN$302,MATCH($C6,'Stock Transfer'!$AG$2:$AG$302,0)+1,0),0),"")</f>
        <v/>
      </c>
      <c r="V10" s="7" t="str">
        <f ca="1">IF(V5&lt;=$B$2,IFERROR(HLOOKUP(V5,Stock!$E$1:$AN$302,MATCH($C6,Stock!$AI$2:$AI$302,0)+1,0),0)+IFERROR(HLOOKUP(V5,'Stock Transfer'!$E$1:$AN$302,MATCH($C6,'Stock Transfer'!$AI$2:$AI$302,0)+1,0),0),"")</f>
        <v/>
      </c>
      <c r="W10" s="7" t="str">
        <f ca="1">IF(W5&lt;=$B$2,IFERROR(HLOOKUP(W5,Stock!$E$1:$AN$302,MATCH($C6,Stock!$AK$2:$AK$302,0)+1,0),0)+IFERROR(HLOOKUP(W5,'Stock Transfer'!$E$1:$AN$302,MATCH($C6,'Stock Transfer'!$AK$2:$AK$302,0)+1,0),0),"")</f>
        <v/>
      </c>
      <c r="X10" s="7" t="str">
        <f ca="1">IF(X5&lt;=$B$2,IFERROR(HLOOKUP(X5,Stock!$E$1:$AN$302,MATCH($C6,Stock!$AM$2:$AM$302,0)+1,0),0)+IFERROR(HLOOKUP(X5,'Stock Transfer'!$E$1:$AN$302,MATCH($C6,'Stock Transfer'!$AM$2:$AM$302,0)+1,0),0),"")</f>
        <v/>
      </c>
      <c r="Y10" s="7" t="str">
        <f ca="1">IF(Y5&lt;=$B$2,IFERROR(HLOOKUP(Y5,Stock!$E$1:$AN$302,MATCH($C6,Stock!$AO$2:$AO$302,0)+1,0),0)+IFERROR(HLOOKUP(Y5,'Stock Transfer'!$E$1:$AN$302,MATCH($C6,'Stock Transfer'!$AO$2:$AO$302,0)+1,0),0),"")</f>
        <v/>
      </c>
      <c r="Z10" s="7" t="str">
        <f ca="1">IF(Z5&lt;=$B$2,IFERROR(HLOOKUP(Z5,Stock!$E$1:$AN$302,MATCH($C6,Stock!$AQ$2:$AQ$302,0)+1,0),0)+IFERROR(HLOOKUP(Z5,'Stock Transfer'!$E$1:$AN$302,MATCH($C6,'Stock Transfer'!$AQ$2:$AQ$302,0)+1,0),0),"")</f>
        <v/>
      </c>
      <c r="AA10" s="7" t="str">
        <f ca="1">IF(AA5&lt;=$B$2,IFERROR(HLOOKUP(AA5,Stock!$E$1:$AN$302,MATCH($C6,Stock!$AS$2:$AS$302,0)+1,0),0)+IFERROR(HLOOKUP(AA5,'Stock Transfer'!$E$1:$AN$302,MATCH($C6,'Stock Transfer'!$AS$2:$AS$302,0)+1,0),0),"")</f>
        <v/>
      </c>
      <c r="AB10" s="7" t="str">
        <f ca="1">IF(AB5&lt;=$B$2,IFERROR(HLOOKUP(AB5,Stock!$E$1:$AN$302,MATCH($C6,Stock!$AU$2:$AU$302,0)+1,0),0)+IFERROR(HLOOKUP(AB5,'Stock Transfer'!$E$1:$AN$302,MATCH($C6,'Stock Transfer'!$AU$2:$AU$302,0)+1,0),0),"")</f>
        <v/>
      </c>
      <c r="AC10" s="7" t="str">
        <f ca="1">IF(AC5&lt;=$B$2,IFERROR(HLOOKUP(AC5,Stock!$E$1:$AN$302,MATCH($C6,Stock!$AW$2:$AW$302,0)+1,0),0)+IFERROR(HLOOKUP(AC5,'Stock Transfer'!$E$1:$AN$302,MATCH($C6,'Stock Transfer'!$AW$2:$AW$302,0)+1,0),0),"")</f>
        <v/>
      </c>
      <c r="AD10" s="7"/>
    </row>
    <row r="11" spans="1:30" ht="14.25" x14ac:dyDescent="0.3">
      <c r="A11" s="129"/>
      <c r="B11" s="132"/>
      <c r="C11" s="123"/>
      <c r="D11" s="126"/>
      <c r="E11" s="5" t="s">
        <v>10</v>
      </c>
      <c r="F11" s="6" t="str">
        <f>C6&amp;E11</f>
        <v>EMM0014ASP3Shortage</v>
      </c>
      <c r="G11" s="20" t="str">
        <f t="shared" ref="G11:AD11" ca="1" si="1">IF(G9&lt;0,G9,"")</f>
        <v/>
      </c>
      <c r="H11" s="20" t="str">
        <f t="shared" ca="1" si="1"/>
        <v/>
      </c>
      <c r="I11" s="20" t="str">
        <f t="shared" ca="1" si="1"/>
        <v/>
      </c>
      <c r="J11" s="20" t="str">
        <f t="shared" ca="1" si="1"/>
        <v/>
      </c>
      <c r="K11" s="20" t="str">
        <f t="shared" ca="1" si="1"/>
        <v/>
      </c>
      <c r="L11" s="20" t="str">
        <f t="shared" ca="1" si="1"/>
        <v/>
      </c>
      <c r="M11" s="20" t="str">
        <f t="shared" ca="1" si="1"/>
        <v/>
      </c>
      <c r="N11" s="20" t="str">
        <f t="shared" ca="1" si="1"/>
        <v/>
      </c>
      <c r="O11" s="8" t="str">
        <f t="shared" ca="1" si="1"/>
        <v/>
      </c>
      <c r="P11" s="8" t="str">
        <f t="shared" ca="1" si="1"/>
        <v/>
      </c>
      <c r="Q11" s="8" t="str">
        <f t="shared" ca="1" si="1"/>
        <v/>
      </c>
      <c r="R11" s="8" t="str">
        <f t="shared" ca="1" si="1"/>
        <v/>
      </c>
      <c r="S11" s="8" t="str">
        <f t="shared" ca="1" si="1"/>
        <v/>
      </c>
      <c r="T11" s="8" t="str">
        <f t="shared" ca="1" si="1"/>
        <v/>
      </c>
      <c r="U11" s="20" t="str">
        <f t="shared" ca="1" si="1"/>
        <v/>
      </c>
      <c r="V11" s="20" t="str">
        <f t="shared" ca="1" si="1"/>
        <v/>
      </c>
      <c r="W11" s="20" t="str">
        <f t="shared" ca="1" si="1"/>
        <v/>
      </c>
      <c r="X11" s="20" t="str">
        <f t="shared" ca="1" si="1"/>
        <v/>
      </c>
      <c r="Y11" s="20" t="str">
        <f t="shared" ca="1" si="1"/>
        <v/>
      </c>
      <c r="Z11" s="20" t="str">
        <f t="shared" ca="1" si="1"/>
        <v/>
      </c>
      <c r="AA11" s="20" t="str">
        <f t="shared" ca="1" si="1"/>
        <v/>
      </c>
      <c r="AB11" s="20" t="str">
        <f t="shared" ca="1" si="1"/>
        <v/>
      </c>
      <c r="AC11" s="20" t="str">
        <f t="shared" ca="1" si="1"/>
        <v/>
      </c>
      <c r="AD11" s="20" t="str">
        <f t="shared" ca="1" si="1"/>
        <v/>
      </c>
    </row>
    <row r="12" spans="1:30" ht="14.25" x14ac:dyDescent="0.3">
      <c r="A12" s="129"/>
      <c r="B12" s="132"/>
      <c r="C12" s="123"/>
      <c r="D12" s="126"/>
      <c r="E12" s="5" t="s">
        <v>238</v>
      </c>
      <c r="F12" s="6"/>
      <c r="G12" s="7">
        <f>IFERROR(HLOOKUP(G5,'Last Date'!$B$1:$AK$302,MATCH($C6,'Last Date'!$B$2:$B$302,0)+1,0),0)</f>
        <v>0</v>
      </c>
      <c r="H12" s="7">
        <f>IFERROR(HLOOKUP(H5,'Last Date'!$B$1:$AK$302,MATCH($C6,'Last Date'!$B$2:$B$302,0)+1,0),0)</f>
        <v>0</v>
      </c>
      <c r="I12" s="7">
        <f>IFERROR(HLOOKUP(I5,'Last Date'!$B$1:$AK$302,MATCH($C6,'Last Date'!$B$2:$B$302,0)+1,0),0)</f>
        <v>0</v>
      </c>
      <c r="J12" s="7">
        <f>IFERROR(HLOOKUP(J5,'Last Date'!$B$1:$AK$302,MATCH($C6,'Last Date'!$B$2:$B$302,0)+1,0),0)</f>
        <v>0</v>
      </c>
      <c r="K12" s="7">
        <f>IFERROR(HLOOKUP(K5,'Last Date'!$B$1:$AK$302,MATCH($C6,'Last Date'!$B$2:$B$302,0)+1,0),0)</f>
        <v>0</v>
      </c>
      <c r="L12" s="7">
        <f>IFERROR(HLOOKUP(L5,'Last Date'!$B$1:$AK$302,MATCH($C6,'Last Date'!$B$2:$B$302,0)+1,0),0)</f>
        <v>0</v>
      </c>
      <c r="M12" s="7">
        <f>IFERROR(HLOOKUP(M5,'Last Date'!$B$1:$AK$302,MATCH($C6,'Last Date'!$B$2:$B$302,0)+1,0),0)</f>
        <v>0</v>
      </c>
      <c r="N12" s="7">
        <f>IFERROR(HLOOKUP(N5,'Last Date'!$B$1:$AK$302,MATCH($C6,'Last Date'!$B$2:$B$302,0)+1,0),0)</f>
        <v>0</v>
      </c>
      <c r="O12" s="7">
        <f>IFERROR(HLOOKUP(O5,'Last Date'!$B$1:$AK$302,MATCH($C6,'Last Date'!$B$2:$B$302,0)+1,0),0)</f>
        <v>0</v>
      </c>
      <c r="P12" s="7">
        <f>IFERROR(HLOOKUP(P5,'Last Date'!$B$1:$AK$302,MATCH($C6,'Last Date'!$B$2:$B$302,0)+1,0),0)</f>
        <v>0</v>
      </c>
      <c r="Q12" s="7">
        <f>IFERROR(HLOOKUP(Q5,'Last Date'!$B$1:$AK$302,MATCH($C6,'Last Date'!$B$2:$B$302,0)+1,0),0)</f>
        <v>0</v>
      </c>
      <c r="R12" s="7">
        <f>IFERROR(HLOOKUP(R5,'Last Date'!$B$1:$AK$302,MATCH($C6,'Last Date'!$B$2:$B$302,0)+1,0),0)</f>
        <v>0</v>
      </c>
      <c r="S12" s="7">
        <f>IFERROR(HLOOKUP(S5,'Last Date'!$B$1:$AK$302,MATCH($C6,'Last Date'!$B$2:$B$302,0)+1,0),0)</f>
        <v>0</v>
      </c>
      <c r="T12" s="7">
        <f>IFERROR(HLOOKUP(T5,'Last Date'!$B$1:$AK$302,MATCH($C6,'Last Date'!$B$2:$B$302,0)+1,0),0)</f>
        <v>0</v>
      </c>
      <c r="U12" s="7">
        <f>IFERROR(HLOOKUP(U5,'Last Date'!$B$1:$AK$302,MATCH($C6,'Last Date'!$B$2:$B$302,0)+1,0),0)</f>
        <v>0</v>
      </c>
      <c r="V12" s="7">
        <f>IFERROR(HLOOKUP(V5,'Last Date'!$B$1:$AK$302,MATCH($C6,'Last Date'!$B$2:$B$302,0)+1,0),0)</f>
        <v>0</v>
      </c>
      <c r="W12" s="7">
        <f>IFERROR(HLOOKUP(W5,'Last Date'!$B$1:$AK$302,MATCH($C6,'Last Date'!$B$2:$B$302,0)+1,0),0)</f>
        <v>0</v>
      </c>
      <c r="X12" s="7">
        <f>IFERROR(HLOOKUP(X5,'Last Date'!$B$1:$AK$302,MATCH($C6,'Last Date'!$B$2:$B$302,0)+1,0),0)</f>
        <v>0</v>
      </c>
      <c r="Y12" s="7">
        <f>IFERROR(HLOOKUP(Y5,'Last Date'!$B$1:$AK$302,MATCH($C6,'Last Date'!$B$2:$B$302,0)+1,0),0)</f>
        <v>0</v>
      </c>
      <c r="Z12" s="7">
        <f>IFERROR(HLOOKUP(Z5,'Last Date'!$B$1:$AK$302,MATCH($C6,'Last Date'!$B$2:$B$302,0)+1,0),0)</f>
        <v>0</v>
      </c>
      <c r="AA12" s="7">
        <f>IFERROR(HLOOKUP(AA5,'Last Date'!$B$1:$AK$302,MATCH($C6,'Last Date'!$B$2:$B$302,0)+1,0),0)</f>
        <v>0</v>
      </c>
      <c r="AB12" s="7">
        <f>IFERROR(HLOOKUP(AB5,'Last Date'!$B$1:$AK$302,MATCH($C6,'Last Date'!$B$2:$B$302,0)+1,0),0)</f>
        <v>0</v>
      </c>
      <c r="AC12" s="7">
        <f>IFERROR(HLOOKUP(AC5,'Last Date'!$B$1:$AK$302,MATCH($C6,'Last Date'!$B$2:$B$302,0)+1,0),0)</f>
        <v>0</v>
      </c>
      <c r="AD12" s="7">
        <f>IFERROR(HLOOKUP(AD5,'Last Date'!$B$1:$AK$302,MATCH($C6,'Last Date'!$B$2:$B$302,0)+1,0),0)</f>
        <v>0</v>
      </c>
    </row>
    <row r="13" spans="1:30" ht="14.25" x14ac:dyDescent="0.3">
      <c r="A13" s="129"/>
      <c r="B13" s="133"/>
      <c r="C13" s="124"/>
      <c r="D13" s="127"/>
      <c r="E13" s="5" t="s">
        <v>21</v>
      </c>
      <c r="F13" s="6" t="str">
        <f>C6&amp;E13</f>
        <v>EMM0014ASP3Stock +/-</v>
      </c>
      <c r="G13" s="21"/>
      <c r="H13" s="22"/>
      <c r="I13" s="21"/>
      <c r="J13" s="22"/>
      <c r="K13" s="21"/>
      <c r="L13" s="22"/>
      <c r="M13" s="21"/>
      <c r="N13" s="22"/>
      <c r="O13" s="21"/>
      <c r="P13" s="22"/>
      <c r="Q13" s="21"/>
      <c r="R13" s="22"/>
      <c r="S13" s="21"/>
      <c r="T13" s="22"/>
      <c r="U13" s="21"/>
      <c r="V13" s="22"/>
      <c r="W13" s="21"/>
      <c r="X13" s="22"/>
      <c r="Y13" s="22"/>
      <c r="Z13" s="22"/>
      <c r="AA13" s="22"/>
      <c r="AB13" s="22"/>
      <c r="AC13" s="22"/>
      <c r="AD13" s="22"/>
    </row>
    <row r="14" spans="1:30" ht="18.399999999999999" thickBot="1" x14ac:dyDescent="0.35">
      <c r="A14" s="130"/>
      <c r="B14" s="89"/>
      <c r="C14" s="21" t="e">
        <f>IF(INDEX(MASTERDATA!$R$3:$R$302,MATCH(C6,MASTERDATA!$L$3:$L$302,0)),"Safety DSI","Safety Stock")</f>
        <v>#N/A</v>
      </c>
      <c r="D14" s="22" t="e">
        <f>IF(C14="Safety DSI",INDEX(MASTERDATA!$R$3:$R$302,MATCH(C6,MASTERDATA!$L$3:$L$302,0)),INDEX(MASTERDATA!$S$3:$S$302,MATCH(C6,MASTERDATA!$L$3:$L$302,0)))</f>
        <v>#N/A</v>
      </c>
      <c r="E14" s="5" t="s">
        <v>12</v>
      </c>
      <c r="F14" s="6" t="str">
        <f>C6&amp;E14</f>
        <v>EMM0014ASP3DSI End Period</v>
      </c>
      <c r="G14" s="95">
        <f t="shared" ref="G14:AD14" ca="1" si="2">IFERROR(IF(AND(H6=0,I6=0),G9/G6*30,IF(I6=0,G9/H6*30,G9/I6*30)),0)</f>
        <v>0</v>
      </c>
      <c r="H14" s="95">
        <f t="shared" ca="1" si="2"/>
        <v>0</v>
      </c>
      <c r="I14" s="95">
        <f t="shared" ca="1" si="2"/>
        <v>0</v>
      </c>
      <c r="J14" s="95">
        <f t="shared" ca="1" si="2"/>
        <v>0</v>
      </c>
      <c r="K14" s="95">
        <f t="shared" ca="1" si="2"/>
        <v>0</v>
      </c>
      <c r="L14" s="95">
        <f t="shared" ca="1" si="2"/>
        <v>0</v>
      </c>
      <c r="M14" s="95">
        <f t="shared" ca="1" si="2"/>
        <v>0</v>
      </c>
      <c r="N14" s="95">
        <f t="shared" ca="1" si="2"/>
        <v>0</v>
      </c>
      <c r="O14" s="95">
        <f t="shared" ca="1" si="2"/>
        <v>0</v>
      </c>
      <c r="P14" s="95">
        <f t="shared" ca="1" si="2"/>
        <v>0</v>
      </c>
      <c r="Q14" s="95">
        <f t="shared" ca="1" si="2"/>
        <v>0</v>
      </c>
      <c r="R14" s="95">
        <f t="shared" ca="1" si="2"/>
        <v>0</v>
      </c>
      <c r="S14" s="95">
        <f t="shared" ca="1" si="2"/>
        <v>0</v>
      </c>
      <c r="T14" s="95">
        <f t="shared" ca="1" si="2"/>
        <v>0</v>
      </c>
      <c r="U14" s="95">
        <f t="shared" ca="1" si="2"/>
        <v>0</v>
      </c>
      <c r="V14" s="95">
        <f t="shared" ca="1" si="2"/>
        <v>0</v>
      </c>
      <c r="W14" s="95">
        <f t="shared" ca="1" si="2"/>
        <v>0</v>
      </c>
      <c r="X14" s="95">
        <f t="shared" ca="1" si="2"/>
        <v>0</v>
      </c>
      <c r="Y14" s="95">
        <f t="shared" ca="1" si="2"/>
        <v>0</v>
      </c>
      <c r="Z14" s="95">
        <f t="shared" ca="1" si="2"/>
        <v>0</v>
      </c>
      <c r="AA14" s="95">
        <f t="shared" ca="1" si="2"/>
        <v>0</v>
      </c>
      <c r="AB14" s="95">
        <f t="shared" ca="1" si="2"/>
        <v>0</v>
      </c>
      <c r="AC14" s="95">
        <f t="shared" ca="1" si="2"/>
        <v>0</v>
      </c>
      <c r="AD14" s="95">
        <f t="shared" ca="1" si="2"/>
        <v>0</v>
      </c>
    </row>
  </sheetData>
  <mergeCells count="4">
    <mergeCell ref="A5:A14"/>
    <mergeCell ref="B6:B13"/>
    <mergeCell ref="C6:C13"/>
    <mergeCell ref="D6:D13"/>
  </mergeCells>
  <phoneticPr fontId="3" type="noConversion"/>
  <conditionalFormatting sqref="G11:AD11">
    <cfRule type="cellIs" dxfId="13" priority="2603" operator="lessThan">
      <formula>0</formula>
    </cfRule>
  </conditionalFormatting>
  <conditionalFormatting sqref="G14:AD14">
    <cfRule type="cellIs" dxfId="12" priority="2600" operator="between">
      <formula>20</formula>
      <formula>59</formula>
    </cfRule>
    <cfRule type="cellIs" dxfId="11" priority="2601" operator="greaterThan">
      <formula>60</formula>
    </cfRule>
    <cfRule type="cellIs" dxfId="10" priority="2602" operator="lessThanOrEqual">
      <formula>19</formula>
    </cfRule>
  </conditionalFormatting>
  <conditionalFormatting sqref="G8:AD8">
    <cfRule type="expression" dxfId="9" priority="2220">
      <formula>G5&gt;=$B$2</formula>
    </cfRule>
  </conditionalFormatting>
  <conditionalFormatting sqref="G5:AD5">
    <cfRule type="cellIs" dxfId="8" priority="5247" operator="equal">
      <formula>$B14</formula>
    </cfRule>
    <cfRule type="cellIs" dxfId="7" priority="5248" operator="equal">
      <formula>$B$2</formula>
    </cfRule>
  </conditionalFormatting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PipRP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1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nRpck">
                <anchor moveWithCells="1" sizeWithCells="1">
                  <from>
                    <xdr:col>16</xdr:col>
                    <xdr:colOff>38100</xdr:colOff>
                    <xdr:row>0</xdr:row>
                    <xdr:rowOff>28575</xdr:rowOff>
                  </from>
                  <to>
                    <xdr:col>16</xdr:col>
                    <xdr:colOff>695325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SIRpck">
                <anchor moveWithCells="1" sizeWithCells="1">
                  <from>
                    <xdr:col>15</xdr:col>
                    <xdr:colOff>19050</xdr:colOff>
                    <xdr:row>0</xdr:row>
                    <xdr:rowOff>19050</xdr:rowOff>
                  </from>
                  <to>
                    <xdr:col>16</xdr:col>
                    <xdr:colOff>9525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124"/>
  <sheetViews>
    <sheetView topLeftCell="C1" zoomScale="80" zoomScaleNormal="80" workbookViewId="0">
      <selection activeCell="Y24" sqref="Y24"/>
    </sheetView>
  </sheetViews>
  <sheetFormatPr defaultRowHeight="13.5" x14ac:dyDescent="0.3"/>
  <cols>
    <col min="1" max="1" width="12.1328125" customWidth="1"/>
    <col min="2" max="2" width="5.265625" customWidth="1"/>
    <col min="3" max="3" width="11.3984375" customWidth="1"/>
    <col min="4" max="4" width="10.3984375" customWidth="1"/>
    <col min="5" max="5" width="5.265625" customWidth="1"/>
    <col min="6" max="6" width="4.3984375" customWidth="1"/>
    <col min="7" max="7" width="8.73046875" customWidth="1"/>
    <col min="8" max="9" width="4.3984375" customWidth="1"/>
    <col min="10" max="11" width="11.3984375" customWidth="1"/>
    <col min="12" max="12" width="9.59765625" customWidth="1"/>
    <col min="13" max="13" width="7.86328125" customWidth="1"/>
    <col min="14" max="15" width="3.3984375" customWidth="1"/>
    <col min="16" max="16" width="13.86328125" customWidth="1"/>
    <col min="17" max="18" width="9.3984375" customWidth="1"/>
    <col min="19" max="19" width="10.1328125" customWidth="1"/>
    <col min="20" max="20" width="9.3984375" customWidth="1"/>
    <col min="21" max="21" width="10.3984375" customWidth="1"/>
    <col min="22" max="23" width="9.3984375" customWidth="1"/>
    <col min="24" max="24" width="9.59765625" customWidth="1"/>
    <col min="25" max="25" width="9.3984375" bestFit="1" customWidth="1"/>
    <col min="26" max="28" width="10.3984375" bestFit="1" customWidth="1"/>
    <col min="29" max="30" width="9.3984375" bestFit="1" customWidth="1"/>
    <col min="31" max="31" width="10.1328125" bestFit="1" customWidth="1"/>
    <col min="32" max="32" width="9.3984375" bestFit="1" customWidth="1"/>
    <col min="33" max="33" width="10.3984375" bestFit="1" customWidth="1"/>
    <col min="34" max="37" width="9.3984375" bestFit="1" customWidth="1"/>
    <col min="38" max="40" width="10.3984375" bestFit="1" customWidth="1"/>
  </cols>
  <sheetData>
    <row r="1" spans="1:40" ht="20.65" customHeight="1" x14ac:dyDescent="0.3">
      <c r="A1" s="117" t="s">
        <v>173</v>
      </c>
      <c r="B1" s="84" t="s">
        <v>174</v>
      </c>
      <c r="C1" s="84" t="s">
        <v>175</v>
      </c>
      <c r="D1" s="84" t="s">
        <v>176</v>
      </c>
      <c r="E1" s="84" t="s">
        <v>177</v>
      </c>
      <c r="F1" s="84" t="s">
        <v>178</v>
      </c>
      <c r="G1" s="118" t="s">
        <v>235</v>
      </c>
      <c r="H1" s="84" t="s">
        <v>179</v>
      </c>
      <c r="I1" s="84" t="s">
        <v>179</v>
      </c>
      <c r="J1" s="84" t="s">
        <v>180</v>
      </c>
      <c r="K1" s="84" t="s">
        <v>181</v>
      </c>
      <c r="L1" s="84" t="s">
        <v>182</v>
      </c>
      <c r="M1" s="117" t="s">
        <v>236</v>
      </c>
      <c r="N1" s="84" t="s">
        <v>183</v>
      </c>
      <c r="O1" s="84" t="s">
        <v>183</v>
      </c>
      <c r="P1" s="116" t="s">
        <v>98</v>
      </c>
      <c r="Q1" s="101">
        <v>42736</v>
      </c>
      <c r="R1" s="101">
        <v>42767</v>
      </c>
      <c r="S1" s="101">
        <v>42795</v>
      </c>
      <c r="T1" s="101">
        <v>42826</v>
      </c>
      <c r="U1" s="101">
        <v>42856</v>
      </c>
      <c r="V1" s="101">
        <v>42887</v>
      </c>
      <c r="W1" s="101">
        <v>42917</v>
      </c>
      <c r="X1" s="101">
        <v>42948</v>
      </c>
      <c r="Y1" s="101">
        <v>42979</v>
      </c>
      <c r="Z1" s="101">
        <v>43009</v>
      </c>
      <c r="AA1" s="101">
        <v>43040</v>
      </c>
      <c r="AB1" s="101">
        <v>43070</v>
      </c>
      <c r="AC1" s="101">
        <v>43101</v>
      </c>
      <c r="AD1" s="101">
        <v>43132</v>
      </c>
      <c r="AE1" s="101">
        <v>43160</v>
      </c>
      <c r="AF1" s="101">
        <v>43191</v>
      </c>
      <c r="AG1" s="101">
        <v>43221</v>
      </c>
      <c r="AH1" s="101">
        <v>43252</v>
      </c>
      <c r="AI1" s="101">
        <v>43282</v>
      </c>
      <c r="AJ1" s="101">
        <v>43313</v>
      </c>
      <c r="AK1" s="101">
        <v>43344</v>
      </c>
      <c r="AL1" s="101">
        <v>43374</v>
      </c>
      <c r="AM1" s="101">
        <v>43405</v>
      </c>
      <c r="AN1" s="101">
        <v>43435</v>
      </c>
    </row>
    <row r="2" spans="1:40" x14ac:dyDescent="0.3">
      <c r="A2" s="85" t="s">
        <v>141</v>
      </c>
      <c r="B2" s="85" t="s">
        <v>184</v>
      </c>
      <c r="C2" s="86">
        <v>41520</v>
      </c>
      <c r="D2" s="85" t="s">
        <v>185</v>
      </c>
      <c r="E2" s="85" t="s">
        <v>105</v>
      </c>
      <c r="F2" s="85" t="s">
        <v>105</v>
      </c>
      <c r="G2" s="87">
        <v>4</v>
      </c>
      <c r="H2" s="85" t="s">
        <v>186</v>
      </c>
      <c r="I2" s="85" t="s">
        <v>186</v>
      </c>
      <c r="J2" s="86"/>
      <c r="K2" s="86">
        <v>41520</v>
      </c>
      <c r="L2" s="85" t="s">
        <v>138</v>
      </c>
      <c r="M2" s="87">
        <v>40</v>
      </c>
      <c r="N2" s="85" t="s">
        <v>186</v>
      </c>
      <c r="O2" s="85" t="s">
        <v>186</v>
      </c>
      <c r="P2" s="119">
        <f>M2/G2</f>
        <v>10</v>
      </c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</row>
    <row r="3" spans="1:40" x14ac:dyDescent="0.3">
      <c r="A3" s="85" t="s">
        <v>141</v>
      </c>
      <c r="B3" s="85" t="s">
        <v>184</v>
      </c>
      <c r="C3" s="86">
        <v>41520</v>
      </c>
      <c r="D3" s="85" t="s">
        <v>185</v>
      </c>
      <c r="E3" s="85" t="s">
        <v>105</v>
      </c>
      <c r="F3" s="85" t="s">
        <v>105</v>
      </c>
      <c r="G3" s="87">
        <v>4</v>
      </c>
      <c r="H3" s="85" t="s">
        <v>186</v>
      </c>
      <c r="I3" s="85" t="s">
        <v>186</v>
      </c>
      <c r="J3" s="86"/>
      <c r="K3" s="86">
        <v>41520</v>
      </c>
      <c r="L3" s="85" t="s">
        <v>187</v>
      </c>
      <c r="M3" s="87">
        <v>4</v>
      </c>
      <c r="N3" s="85" t="s">
        <v>186</v>
      </c>
      <c r="O3" s="85" t="s">
        <v>186</v>
      </c>
      <c r="P3" s="119">
        <f t="shared" ref="P3:P36" si="0">M3/G3</f>
        <v>1</v>
      </c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</row>
    <row r="4" spans="1:40" x14ac:dyDescent="0.3">
      <c r="A4" s="85" t="s">
        <v>141</v>
      </c>
      <c r="B4" s="85" t="s">
        <v>184</v>
      </c>
      <c r="C4" s="86">
        <v>41520</v>
      </c>
      <c r="D4" s="85" t="s">
        <v>185</v>
      </c>
      <c r="E4" s="85" t="s">
        <v>105</v>
      </c>
      <c r="F4" s="85" t="s">
        <v>105</v>
      </c>
      <c r="G4" s="87">
        <v>4</v>
      </c>
      <c r="H4" s="85" t="s">
        <v>186</v>
      </c>
      <c r="I4" s="85" t="s">
        <v>186</v>
      </c>
      <c r="J4" s="86"/>
      <c r="K4" s="86">
        <v>41520</v>
      </c>
      <c r="L4" s="85" t="s">
        <v>188</v>
      </c>
      <c r="M4" s="87">
        <v>1</v>
      </c>
      <c r="N4" s="85" t="s">
        <v>186</v>
      </c>
      <c r="O4" s="85" t="s">
        <v>186</v>
      </c>
      <c r="P4" s="119">
        <f t="shared" si="0"/>
        <v>0.25</v>
      </c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</row>
    <row r="5" spans="1:40" x14ac:dyDescent="0.3">
      <c r="A5" s="85" t="s">
        <v>140</v>
      </c>
      <c r="B5" s="85" t="s">
        <v>184</v>
      </c>
      <c r="C5" s="86">
        <v>41520</v>
      </c>
      <c r="D5" s="85" t="s">
        <v>185</v>
      </c>
      <c r="E5" s="85" t="s">
        <v>105</v>
      </c>
      <c r="F5" s="85" t="s">
        <v>105</v>
      </c>
      <c r="G5" s="87">
        <v>4</v>
      </c>
      <c r="H5" s="85" t="s">
        <v>186</v>
      </c>
      <c r="I5" s="85" t="s">
        <v>186</v>
      </c>
      <c r="J5" s="86"/>
      <c r="K5" s="86">
        <v>41520</v>
      </c>
      <c r="L5" s="85" t="s">
        <v>138</v>
      </c>
      <c r="M5" s="87">
        <v>48</v>
      </c>
      <c r="N5" s="85" t="s">
        <v>186</v>
      </c>
      <c r="O5" s="85" t="s">
        <v>186</v>
      </c>
      <c r="P5" s="119">
        <f t="shared" si="0"/>
        <v>12</v>
      </c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</row>
    <row r="6" spans="1:40" x14ac:dyDescent="0.3">
      <c r="A6" s="85" t="s">
        <v>140</v>
      </c>
      <c r="B6" s="85" t="s">
        <v>184</v>
      </c>
      <c r="C6" s="86">
        <v>41520</v>
      </c>
      <c r="D6" s="85" t="s">
        <v>185</v>
      </c>
      <c r="E6" s="85" t="s">
        <v>105</v>
      </c>
      <c r="F6" s="85" t="s">
        <v>105</v>
      </c>
      <c r="G6" s="87">
        <v>4</v>
      </c>
      <c r="H6" s="85" t="s">
        <v>186</v>
      </c>
      <c r="I6" s="85" t="s">
        <v>186</v>
      </c>
      <c r="J6" s="86"/>
      <c r="K6" s="86">
        <v>41520</v>
      </c>
      <c r="L6" s="85" t="s">
        <v>189</v>
      </c>
      <c r="M6" s="87">
        <v>4</v>
      </c>
      <c r="N6" s="85" t="s">
        <v>186</v>
      </c>
      <c r="O6" s="85" t="s">
        <v>186</v>
      </c>
      <c r="P6" s="119">
        <f t="shared" si="0"/>
        <v>1</v>
      </c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</row>
    <row r="7" spans="1:40" x14ac:dyDescent="0.3">
      <c r="A7" s="85" t="s">
        <v>140</v>
      </c>
      <c r="B7" s="85" t="s">
        <v>184</v>
      </c>
      <c r="C7" s="86">
        <v>41520</v>
      </c>
      <c r="D7" s="85" t="s">
        <v>185</v>
      </c>
      <c r="E7" s="85" t="s">
        <v>105</v>
      </c>
      <c r="F7" s="85" t="s">
        <v>105</v>
      </c>
      <c r="G7" s="87">
        <v>4</v>
      </c>
      <c r="H7" s="85" t="s">
        <v>186</v>
      </c>
      <c r="I7" s="85" t="s">
        <v>186</v>
      </c>
      <c r="J7" s="86"/>
      <c r="K7" s="86">
        <v>41520</v>
      </c>
      <c r="L7" s="85" t="s">
        <v>190</v>
      </c>
      <c r="M7" s="87">
        <v>1</v>
      </c>
      <c r="N7" s="85" t="s">
        <v>186</v>
      </c>
      <c r="O7" s="85" t="s">
        <v>186</v>
      </c>
      <c r="P7" s="119">
        <f t="shared" si="0"/>
        <v>0.25</v>
      </c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</row>
    <row r="8" spans="1:40" ht="14.65" customHeight="1" x14ac:dyDescent="0.3">
      <c r="A8" s="108" t="s">
        <v>191</v>
      </c>
      <c r="B8" s="85" t="s">
        <v>184</v>
      </c>
      <c r="C8" s="86">
        <v>41520</v>
      </c>
      <c r="D8" s="85" t="s">
        <v>185</v>
      </c>
      <c r="E8" s="85" t="s">
        <v>105</v>
      </c>
      <c r="F8" s="85" t="s">
        <v>105</v>
      </c>
      <c r="G8" s="87">
        <v>1</v>
      </c>
      <c r="H8" s="85" t="s">
        <v>186</v>
      </c>
      <c r="I8" s="85" t="s">
        <v>186</v>
      </c>
      <c r="J8" s="86"/>
      <c r="K8" s="86">
        <v>41520</v>
      </c>
      <c r="L8" s="85" t="s">
        <v>138</v>
      </c>
      <c r="M8" s="87">
        <v>18</v>
      </c>
      <c r="N8" s="85" t="s">
        <v>186</v>
      </c>
      <c r="O8" s="85" t="s">
        <v>186</v>
      </c>
      <c r="P8" s="119">
        <f t="shared" si="0"/>
        <v>18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</row>
    <row r="9" spans="1:40" x14ac:dyDescent="0.3">
      <c r="A9" s="85" t="s">
        <v>109</v>
      </c>
      <c r="B9" s="85" t="s">
        <v>184</v>
      </c>
      <c r="C9" s="86">
        <v>41520</v>
      </c>
      <c r="D9" s="85" t="s">
        <v>185</v>
      </c>
      <c r="E9" s="85" t="s">
        <v>105</v>
      </c>
      <c r="F9" s="85" t="s">
        <v>105</v>
      </c>
      <c r="G9" s="87">
        <v>1</v>
      </c>
      <c r="H9" s="85" t="s">
        <v>186</v>
      </c>
      <c r="I9" s="85" t="s">
        <v>186</v>
      </c>
      <c r="J9" s="86"/>
      <c r="K9" s="86">
        <v>41520</v>
      </c>
      <c r="L9" s="85" t="s">
        <v>106</v>
      </c>
      <c r="M9" s="87">
        <v>20</v>
      </c>
      <c r="N9" s="85" t="s">
        <v>186</v>
      </c>
      <c r="O9" s="85" t="s">
        <v>186</v>
      </c>
      <c r="P9" s="119">
        <f t="shared" si="0"/>
        <v>20</v>
      </c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</row>
    <row r="10" spans="1:40" x14ac:dyDescent="0.3">
      <c r="A10" s="85" t="s">
        <v>109</v>
      </c>
      <c r="B10" s="85" t="s">
        <v>184</v>
      </c>
      <c r="C10" s="86">
        <v>41520</v>
      </c>
      <c r="D10" s="85" t="s">
        <v>185</v>
      </c>
      <c r="E10" s="85" t="s">
        <v>105</v>
      </c>
      <c r="F10" s="85" t="s">
        <v>105</v>
      </c>
      <c r="G10" s="87">
        <v>1</v>
      </c>
      <c r="H10" s="85" t="s">
        <v>186</v>
      </c>
      <c r="I10" s="85" t="s">
        <v>186</v>
      </c>
      <c r="J10" s="86"/>
      <c r="K10" s="86">
        <v>41520</v>
      </c>
      <c r="L10" s="85" t="s">
        <v>192</v>
      </c>
      <c r="M10" s="87">
        <v>1</v>
      </c>
      <c r="N10" s="85" t="s">
        <v>186</v>
      </c>
      <c r="O10" s="85" t="s">
        <v>186</v>
      </c>
      <c r="P10" s="119">
        <f t="shared" si="0"/>
        <v>1</v>
      </c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</row>
    <row r="11" spans="1:40" x14ac:dyDescent="0.3">
      <c r="A11" s="85" t="s">
        <v>114</v>
      </c>
      <c r="B11" s="85" t="s">
        <v>184</v>
      </c>
      <c r="C11" s="86">
        <v>41520</v>
      </c>
      <c r="D11" s="85" t="s">
        <v>185</v>
      </c>
      <c r="E11" s="85" t="s">
        <v>105</v>
      </c>
      <c r="F11" s="85" t="s">
        <v>105</v>
      </c>
      <c r="G11" s="87">
        <v>1</v>
      </c>
      <c r="H11" s="85" t="s">
        <v>186</v>
      </c>
      <c r="I11" s="85" t="s">
        <v>186</v>
      </c>
      <c r="J11" s="86"/>
      <c r="K11" s="86">
        <v>41520</v>
      </c>
      <c r="L11" s="85" t="s">
        <v>113</v>
      </c>
      <c r="M11" s="87">
        <v>20</v>
      </c>
      <c r="N11" s="85" t="s">
        <v>186</v>
      </c>
      <c r="O11" s="85" t="s">
        <v>186</v>
      </c>
      <c r="P11" s="119">
        <f t="shared" si="0"/>
        <v>20</v>
      </c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</row>
    <row r="12" spans="1:40" x14ac:dyDescent="0.3">
      <c r="A12" s="85" t="s">
        <v>114</v>
      </c>
      <c r="B12" s="85" t="s">
        <v>184</v>
      </c>
      <c r="C12" s="86">
        <v>41520</v>
      </c>
      <c r="D12" s="85" t="s">
        <v>185</v>
      </c>
      <c r="E12" s="85" t="s">
        <v>105</v>
      </c>
      <c r="F12" s="85" t="s">
        <v>105</v>
      </c>
      <c r="G12" s="87">
        <v>1</v>
      </c>
      <c r="H12" s="85" t="s">
        <v>186</v>
      </c>
      <c r="I12" s="85" t="s">
        <v>186</v>
      </c>
      <c r="J12" s="86"/>
      <c r="K12" s="86">
        <v>41520</v>
      </c>
      <c r="L12" s="85" t="s">
        <v>192</v>
      </c>
      <c r="M12" s="87">
        <v>1</v>
      </c>
      <c r="N12" s="85" t="s">
        <v>186</v>
      </c>
      <c r="O12" s="85" t="s">
        <v>186</v>
      </c>
      <c r="P12" s="119">
        <f t="shared" si="0"/>
        <v>1</v>
      </c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</row>
    <row r="13" spans="1:40" x14ac:dyDescent="0.3">
      <c r="A13" s="85" t="s">
        <v>117</v>
      </c>
      <c r="B13" s="85" t="s">
        <v>184</v>
      </c>
      <c r="C13" s="86">
        <v>41520</v>
      </c>
      <c r="D13" s="85" t="s">
        <v>185</v>
      </c>
      <c r="E13" s="85" t="s">
        <v>105</v>
      </c>
      <c r="F13" s="85" t="s">
        <v>105</v>
      </c>
      <c r="G13" s="87">
        <v>1</v>
      </c>
      <c r="H13" s="85" t="s">
        <v>186</v>
      </c>
      <c r="I13" s="85" t="s">
        <v>186</v>
      </c>
      <c r="J13" s="86"/>
      <c r="K13" s="86">
        <v>41520</v>
      </c>
      <c r="L13" s="85" t="s">
        <v>115</v>
      </c>
      <c r="M13" s="87">
        <v>20</v>
      </c>
      <c r="N13" s="85" t="s">
        <v>186</v>
      </c>
      <c r="O13" s="85" t="s">
        <v>186</v>
      </c>
      <c r="P13" s="119">
        <f t="shared" si="0"/>
        <v>20</v>
      </c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0"/>
      <c r="AL13" s="120"/>
      <c r="AM13" s="120"/>
      <c r="AN13" s="120"/>
    </row>
    <row r="14" spans="1:40" x14ac:dyDescent="0.3">
      <c r="A14" s="85" t="s">
        <v>117</v>
      </c>
      <c r="B14" s="85" t="s">
        <v>184</v>
      </c>
      <c r="C14" s="86">
        <v>41520</v>
      </c>
      <c r="D14" s="85" t="s">
        <v>185</v>
      </c>
      <c r="E14" s="85" t="s">
        <v>105</v>
      </c>
      <c r="F14" s="85" t="s">
        <v>105</v>
      </c>
      <c r="G14" s="87">
        <v>1</v>
      </c>
      <c r="H14" s="85" t="s">
        <v>186</v>
      </c>
      <c r="I14" s="85" t="s">
        <v>186</v>
      </c>
      <c r="J14" s="86"/>
      <c r="K14" s="86">
        <v>41520</v>
      </c>
      <c r="L14" s="85" t="s">
        <v>192</v>
      </c>
      <c r="M14" s="87">
        <v>1</v>
      </c>
      <c r="N14" s="85" t="s">
        <v>186</v>
      </c>
      <c r="O14" s="85" t="s">
        <v>186</v>
      </c>
      <c r="P14" s="119">
        <f t="shared" si="0"/>
        <v>1</v>
      </c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0"/>
    </row>
    <row r="15" spans="1:40" x14ac:dyDescent="0.3">
      <c r="A15" s="85" t="s">
        <v>119</v>
      </c>
      <c r="B15" s="85" t="s">
        <v>184</v>
      </c>
      <c r="C15" s="86">
        <v>41520</v>
      </c>
      <c r="D15" s="85" t="s">
        <v>185</v>
      </c>
      <c r="E15" s="85" t="s">
        <v>105</v>
      </c>
      <c r="F15" s="85" t="s">
        <v>105</v>
      </c>
      <c r="G15" s="87">
        <v>1</v>
      </c>
      <c r="H15" s="85" t="s">
        <v>186</v>
      </c>
      <c r="I15" s="85" t="s">
        <v>186</v>
      </c>
      <c r="J15" s="86"/>
      <c r="K15" s="86">
        <v>41520</v>
      </c>
      <c r="L15" s="85" t="s">
        <v>118</v>
      </c>
      <c r="M15" s="87">
        <v>20</v>
      </c>
      <c r="N15" s="85" t="s">
        <v>186</v>
      </c>
      <c r="O15" s="85" t="s">
        <v>186</v>
      </c>
      <c r="P15" s="119">
        <f t="shared" si="0"/>
        <v>20</v>
      </c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</row>
    <row r="16" spans="1:40" x14ac:dyDescent="0.3">
      <c r="A16" s="85" t="s">
        <v>119</v>
      </c>
      <c r="B16" s="85" t="s">
        <v>184</v>
      </c>
      <c r="C16" s="86">
        <v>41520</v>
      </c>
      <c r="D16" s="85" t="s">
        <v>185</v>
      </c>
      <c r="E16" s="85" t="s">
        <v>105</v>
      </c>
      <c r="F16" s="85" t="s">
        <v>105</v>
      </c>
      <c r="G16" s="87">
        <v>1</v>
      </c>
      <c r="H16" s="85" t="s">
        <v>186</v>
      </c>
      <c r="I16" s="85" t="s">
        <v>186</v>
      </c>
      <c r="J16" s="86"/>
      <c r="K16" s="86">
        <v>41520</v>
      </c>
      <c r="L16" s="85" t="s">
        <v>192</v>
      </c>
      <c r="M16" s="87">
        <v>1</v>
      </c>
      <c r="N16" s="85" t="s">
        <v>186</v>
      </c>
      <c r="O16" s="85" t="s">
        <v>186</v>
      </c>
      <c r="P16" s="119">
        <f t="shared" si="0"/>
        <v>1</v>
      </c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0"/>
    </row>
    <row r="17" spans="1:40" x14ac:dyDescent="0.3">
      <c r="A17" s="85" t="s">
        <v>121</v>
      </c>
      <c r="B17" s="85" t="s">
        <v>184</v>
      </c>
      <c r="C17" s="86">
        <v>41520</v>
      </c>
      <c r="D17" s="85" t="s">
        <v>185</v>
      </c>
      <c r="E17" s="85" t="s">
        <v>105</v>
      </c>
      <c r="F17" s="85" t="s">
        <v>105</v>
      </c>
      <c r="G17" s="87">
        <v>1</v>
      </c>
      <c r="H17" s="85" t="s">
        <v>186</v>
      </c>
      <c r="I17" s="85" t="s">
        <v>186</v>
      </c>
      <c r="J17" s="86"/>
      <c r="K17" s="86">
        <v>41520</v>
      </c>
      <c r="L17" s="85" t="s">
        <v>120</v>
      </c>
      <c r="M17" s="87">
        <v>20</v>
      </c>
      <c r="N17" s="85" t="s">
        <v>186</v>
      </c>
      <c r="O17" s="85" t="s">
        <v>186</v>
      </c>
      <c r="P17" s="119">
        <f t="shared" si="0"/>
        <v>20</v>
      </c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</row>
    <row r="18" spans="1:40" x14ac:dyDescent="0.3">
      <c r="A18" s="85" t="s">
        <v>121</v>
      </c>
      <c r="B18" s="85" t="s">
        <v>184</v>
      </c>
      <c r="C18" s="86">
        <v>41520</v>
      </c>
      <c r="D18" s="85" t="s">
        <v>185</v>
      </c>
      <c r="E18" s="85" t="s">
        <v>105</v>
      </c>
      <c r="F18" s="85" t="s">
        <v>105</v>
      </c>
      <c r="G18" s="87">
        <v>1</v>
      </c>
      <c r="H18" s="85" t="s">
        <v>186</v>
      </c>
      <c r="I18" s="85" t="s">
        <v>186</v>
      </c>
      <c r="J18" s="86"/>
      <c r="K18" s="86">
        <v>41520</v>
      </c>
      <c r="L18" s="85" t="s">
        <v>192</v>
      </c>
      <c r="M18" s="87">
        <v>1</v>
      </c>
      <c r="N18" s="85" t="s">
        <v>186</v>
      </c>
      <c r="O18" s="85" t="s">
        <v>186</v>
      </c>
      <c r="P18" s="119">
        <f t="shared" si="0"/>
        <v>1</v>
      </c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</row>
    <row r="19" spans="1:40" x14ac:dyDescent="0.3">
      <c r="A19" s="85" t="s">
        <v>139</v>
      </c>
      <c r="B19" s="85" t="s">
        <v>184</v>
      </c>
      <c r="C19" s="86">
        <v>41520</v>
      </c>
      <c r="D19" s="85" t="s">
        <v>185</v>
      </c>
      <c r="E19" s="85" t="s">
        <v>105</v>
      </c>
      <c r="F19" s="85" t="s">
        <v>105</v>
      </c>
      <c r="G19" s="87">
        <v>6</v>
      </c>
      <c r="H19" s="85" t="s">
        <v>186</v>
      </c>
      <c r="I19" s="85" t="s">
        <v>186</v>
      </c>
      <c r="J19" s="86"/>
      <c r="K19" s="86">
        <v>41520</v>
      </c>
      <c r="L19" s="85" t="s">
        <v>138</v>
      </c>
      <c r="M19" s="87">
        <v>18</v>
      </c>
      <c r="N19" s="85" t="s">
        <v>186</v>
      </c>
      <c r="O19" s="85" t="s">
        <v>186</v>
      </c>
      <c r="P19" s="119">
        <f t="shared" si="0"/>
        <v>3</v>
      </c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</row>
    <row r="20" spans="1:40" x14ac:dyDescent="0.3">
      <c r="A20" s="85" t="s">
        <v>139</v>
      </c>
      <c r="B20" s="85" t="s">
        <v>184</v>
      </c>
      <c r="C20" s="86">
        <v>41520</v>
      </c>
      <c r="D20" s="85" t="s">
        <v>185</v>
      </c>
      <c r="E20" s="85" t="s">
        <v>105</v>
      </c>
      <c r="F20" s="85" t="s">
        <v>105</v>
      </c>
      <c r="G20" s="87">
        <v>6</v>
      </c>
      <c r="H20" s="85" t="s">
        <v>186</v>
      </c>
      <c r="I20" s="85" t="s">
        <v>186</v>
      </c>
      <c r="J20" s="86"/>
      <c r="K20" s="86">
        <v>41520</v>
      </c>
      <c r="L20" s="85" t="s">
        <v>193</v>
      </c>
      <c r="M20" s="87">
        <v>1</v>
      </c>
      <c r="N20" s="85" t="s">
        <v>186</v>
      </c>
      <c r="O20" s="85" t="s">
        <v>186</v>
      </c>
      <c r="P20" s="119">
        <f t="shared" si="0"/>
        <v>0.16666666666666666</v>
      </c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</row>
    <row r="21" spans="1:40" x14ac:dyDescent="0.3">
      <c r="A21" s="108" t="s">
        <v>231</v>
      </c>
      <c r="B21" s="85" t="s">
        <v>184</v>
      </c>
      <c r="C21" s="86">
        <v>41520</v>
      </c>
      <c r="D21" s="85" t="s">
        <v>185</v>
      </c>
      <c r="E21" s="85" t="s">
        <v>105</v>
      </c>
      <c r="F21" s="85" t="s">
        <v>105</v>
      </c>
      <c r="G21" s="87">
        <v>1</v>
      </c>
      <c r="H21" s="85" t="s">
        <v>186</v>
      </c>
      <c r="I21" s="85" t="s">
        <v>186</v>
      </c>
      <c r="J21" s="86"/>
      <c r="K21" s="86">
        <v>41520</v>
      </c>
      <c r="L21" s="85" t="s">
        <v>138</v>
      </c>
      <c r="M21" s="87">
        <v>36</v>
      </c>
      <c r="N21" s="85" t="s">
        <v>186</v>
      </c>
      <c r="O21" s="85" t="s">
        <v>186</v>
      </c>
      <c r="P21" s="119">
        <f t="shared" si="0"/>
        <v>36</v>
      </c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0"/>
      <c r="AL21" s="120"/>
      <c r="AM21" s="120"/>
      <c r="AN21" s="120"/>
    </row>
    <row r="22" spans="1:40" x14ac:dyDescent="0.3">
      <c r="A22" s="108" t="s">
        <v>194</v>
      </c>
      <c r="B22" s="85" t="s">
        <v>184</v>
      </c>
      <c r="C22" s="86">
        <v>41520</v>
      </c>
      <c r="D22" s="85" t="s">
        <v>185</v>
      </c>
      <c r="E22" s="85" t="s">
        <v>105</v>
      </c>
      <c r="F22" s="85" t="s">
        <v>105</v>
      </c>
      <c r="G22" s="87">
        <v>1</v>
      </c>
      <c r="H22" s="85" t="s">
        <v>186</v>
      </c>
      <c r="I22" s="85" t="s">
        <v>186</v>
      </c>
      <c r="J22" s="86"/>
      <c r="K22" s="86">
        <v>41520</v>
      </c>
      <c r="L22" s="85" t="s">
        <v>195</v>
      </c>
      <c r="M22" s="87">
        <v>1</v>
      </c>
      <c r="N22" s="85" t="s">
        <v>186</v>
      </c>
      <c r="O22" s="85" t="s">
        <v>186</v>
      </c>
      <c r="P22" s="119">
        <f t="shared" si="0"/>
        <v>1</v>
      </c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0"/>
      <c r="AL22" s="120"/>
      <c r="AM22" s="120"/>
      <c r="AN22" s="120"/>
    </row>
    <row r="23" spans="1:40" x14ac:dyDescent="0.3">
      <c r="A23" s="85" t="s">
        <v>108</v>
      </c>
      <c r="B23" s="85" t="s">
        <v>184</v>
      </c>
      <c r="C23" s="86">
        <v>41542</v>
      </c>
      <c r="D23" s="85" t="s">
        <v>185</v>
      </c>
      <c r="E23" s="85" t="s">
        <v>105</v>
      </c>
      <c r="F23" s="85" t="s">
        <v>105</v>
      </c>
      <c r="G23" s="87">
        <v>6</v>
      </c>
      <c r="H23" s="85" t="s">
        <v>186</v>
      </c>
      <c r="I23" s="85" t="s">
        <v>186</v>
      </c>
      <c r="J23" s="86"/>
      <c r="K23" s="86">
        <v>41542</v>
      </c>
      <c r="L23" s="85" t="s">
        <v>106</v>
      </c>
      <c r="M23" s="87">
        <v>24</v>
      </c>
      <c r="N23" s="85" t="s">
        <v>186</v>
      </c>
      <c r="O23" s="85" t="s">
        <v>186</v>
      </c>
      <c r="P23" s="119">
        <f t="shared" si="0"/>
        <v>4</v>
      </c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</row>
    <row r="24" spans="1:40" x14ac:dyDescent="0.3">
      <c r="A24" s="85" t="s">
        <v>108</v>
      </c>
      <c r="B24" s="85" t="s">
        <v>184</v>
      </c>
      <c r="C24" s="86">
        <v>41542</v>
      </c>
      <c r="D24" s="85" t="s">
        <v>185</v>
      </c>
      <c r="E24" s="85" t="s">
        <v>105</v>
      </c>
      <c r="F24" s="85" t="s">
        <v>105</v>
      </c>
      <c r="G24" s="87">
        <v>6</v>
      </c>
      <c r="H24" s="85" t="s">
        <v>186</v>
      </c>
      <c r="I24" s="85" t="s">
        <v>186</v>
      </c>
      <c r="J24" s="86"/>
      <c r="K24" s="86">
        <v>41542</v>
      </c>
      <c r="L24" s="85" t="s">
        <v>196</v>
      </c>
      <c r="M24" s="87">
        <v>6</v>
      </c>
      <c r="N24" s="85" t="s">
        <v>186</v>
      </c>
      <c r="O24" s="85" t="s">
        <v>186</v>
      </c>
      <c r="P24" s="119">
        <f t="shared" si="0"/>
        <v>1</v>
      </c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</row>
    <row r="25" spans="1:40" x14ac:dyDescent="0.3">
      <c r="A25" s="85" t="s">
        <v>108</v>
      </c>
      <c r="B25" s="85" t="s">
        <v>184</v>
      </c>
      <c r="C25" s="86">
        <v>41542</v>
      </c>
      <c r="D25" s="85" t="s">
        <v>185</v>
      </c>
      <c r="E25" s="85" t="s">
        <v>105</v>
      </c>
      <c r="F25" s="85" t="s">
        <v>105</v>
      </c>
      <c r="G25" s="87">
        <v>6</v>
      </c>
      <c r="H25" s="85" t="s">
        <v>186</v>
      </c>
      <c r="I25" s="85" t="s">
        <v>186</v>
      </c>
      <c r="J25" s="86"/>
      <c r="K25" s="86">
        <v>41542</v>
      </c>
      <c r="L25" s="85" t="s">
        <v>197</v>
      </c>
      <c r="M25" s="87">
        <v>1</v>
      </c>
      <c r="N25" s="85" t="s">
        <v>186</v>
      </c>
      <c r="O25" s="85" t="s">
        <v>186</v>
      </c>
      <c r="P25" s="119">
        <f t="shared" si="0"/>
        <v>0.16666666666666666</v>
      </c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</row>
    <row r="26" spans="1:40" x14ac:dyDescent="0.3">
      <c r="A26" s="85" t="s">
        <v>108</v>
      </c>
      <c r="B26" s="85" t="s">
        <v>184</v>
      </c>
      <c r="C26" s="86">
        <v>41542</v>
      </c>
      <c r="D26" s="85" t="s">
        <v>185</v>
      </c>
      <c r="E26" s="85" t="s">
        <v>105</v>
      </c>
      <c r="F26" s="85" t="s">
        <v>105</v>
      </c>
      <c r="G26" s="87">
        <v>6</v>
      </c>
      <c r="H26" s="85" t="s">
        <v>186</v>
      </c>
      <c r="I26" s="85" t="s">
        <v>186</v>
      </c>
      <c r="J26" s="86"/>
      <c r="K26" s="86">
        <v>41542</v>
      </c>
      <c r="L26" s="85" t="s">
        <v>198</v>
      </c>
      <c r="M26" s="87">
        <v>6</v>
      </c>
      <c r="N26" s="85" t="s">
        <v>186</v>
      </c>
      <c r="O26" s="85" t="s">
        <v>186</v>
      </c>
      <c r="P26" s="119">
        <f t="shared" si="0"/>
        <v>1</v>
      </c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</row>
    <row r="27" spans="1:40" x14ac:dyDescent="0.3">
      <c r="A27" s="85" t="s">
        <v>169</v>
      </c>
      <c r="B27" s="85" t="s">
        <v>184</v>
      </c>
      <c r="C27" s="86">
        <v>41542</v>
      </c>
      <c r="D27" s="85" t="s">
        <v>185</v>
      </c>
      <c r="E27" s="85" t="s">
        <v>105</v>
      </c>
      <c r="F27" s="85" t="s">
        <v>105</v>
      </c>
      <c r="G27" s="87">
        <v>6</v>
      </c>
      <c r="H27" s="85" t="s">
        <v>186</v>
      </c>
      <c r="I27" s="85" t="s">
        <v>186</v>
      </c>
      <c r="J27" s="86"/>
      <c r="K27" s="86">
        <v>41542</v>
      </c>
      <c r="L27" s="85" t="s">
        <v>196</v>
      </c>
      <c r="M27" s="87">
        <v>6</v>
      </c>
      <c r="N27" s="85" t="s">
        <v>186</v>
      </c>
      <c r="O27" s="85" t="s">
        <v>186</v>
      </c>
      <c r="P27" s="119">
        <f t="shared" si="0"/>
        <v>1</v>
      </c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</row>
    <row r="28" spans="1:40" x14ac:dyDescent="0.3">
      <c r="A28" s="85" t="s">
        <v>169</v>
      </c>
      <c r="B28" s="85" t="s">
        <v>184</v>
      </c>
      <c r="C28" s="86">
        <v>41542</v>
      </c>
      <c r="D28" s="85" t="s">
        <v>185</v>
      </c>
      <c r="E28" s="85" t="s">
        <v>105</v>
      </c>
      <c r="F28" s="85" t="s">
        <v>105</v>
      </c>
      <c r="G28" s="87">
        <v>6</v>
      </c>
      <c r="H28" s="85" t="s">
        <v>186</v>
      </c>
      <c r="I28" s="85" t="s">
        <v>186</v>
      </c>
      <c r="J28" s="86"/>
      <c r="K28" s="86">
        <v>41542</v>
      </c>
      <c r="L28" s="85" t="s">
        <v>197</v>
      </c>
      <c r="M28" s="87">
        <v>1</v>
      </c>
      <c r="N28" s="85" t="s">
        <v>186</v>
      </c>
      <c r="O28" s="85" t="s">
        <v>186</v>
      </c>
      <c r="P28" s="119">
        <f t="shared" si="0"/>
        <v>0.16666666666666666</v>
      </c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</row>
    <row r="29" spans="1:40" x14ac:dyDescent="0.3">
      <c r="A29" s="85" t="s">
        <v>169</v>
      </c>
      <c r="B29" s="85" t="s">
        <v>184</v>
      </c>
      <c r="C29" s="86">
        <v>41542</v>
      </c>
      <c r="D29" s="85" t="s">
        <v>185</v>
      </c>
      <c r="E29" s="85" t="s">
        <v>105</v>
      </c>
      <c r="F29" s="85" t="s">
        <v>105</v>
      </c>
      <c r="G29" s="87">
        <v>6</v>
      </c>
      <c r="H29" s="85" t="s">
        <v>186</v>
      </c>
      <c r="I29" s="85" t="s">
        <v>186</v>
      </c>
      <c r="J29" s="86"/>
      <c r="K29" s="86">
        <v>41542</v>
      </c>
      <c r="L29" s="85" t="s">
        <v>106</v>
      </c>
      <c r="M29" s="87">
        <v>6</v>
      </c>
      <c r="N29" s="85" t="s">
        <v>186</v>
      </c>
      <c r="O29" s="85" t="s">
        <v>186</v>
      </c>
      <c r="P29" s="119">
        <f t="shared" si="0"/>
        <v>1</v>
      </c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</row>
    <row r="30" spans="1:40" x14ac:dyDescent="0.3">
      <c r="A30" s="85" t="s">
        <v>169</v>
      </c>
      <c r="B30" s="85" t="s">
        <v>184</v>
      </c>
      <c r="C30" s="86">
        <v>41542</v>
      </c>
      <c r="D30" s="85" t="s">
        <v>185</v>
      </c>
      <c r="E30" s="85" t="s">
        <v>105</v>
      </c>
      <c r="F30" s="85" t="s">
        <v>105</v>
      </c>
      <c r="G30" s="87">
        <v>6</v>
      </c>
      <c r="H30" s="85" t="s">
        <v>186</v>
      </c>
      <c r="I30" s="85" t="s">
        <v>186</v>
      </c>
      <c r="J30" s="86"/>
      <c r="K30" s="86">
        <v>41542</v>
      </c>
      <c r="L30" s="85" t="s">
        <v>115</v>
      </c>
      <c r="M30" s="87">
        <v>6</v>
      </c>
      <c r="N30" s="85" t="s">
        <v>186</v>
      </c>
      <c r="O30" s="85" t="s">
        <v>186</v>
      </c>
      <c r="P30" s="119">
        <f t="shared" si="0"/>
        <v>1</v>
      </c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</row>
    <row r="31" spans="1:40" x14ac:dyDescent="0.3">
      <c r="A31" s="85" t="s">
        <v>169</v>
      </c>
      <c r="B31" s="85" t="s">
        <v>184</v>
      </c>
      <c r="C31" s="86">
        <v>41542</v>
      </c>
      <c r="D31" s="85" t="s">
        <v>185</v>
      </c>
      <c r="E31" s="85" t="s">
        <v>105</v>
      </c>
      <c r="F31" s="85" t="s">
        <v>105</v>
      </c>
      <c r="G31" s="87">
        <v>6</v>
      </c>
      <c r="H31" s="85" t="s">
        <v>186</v>
      </c>
      <c r="I31" s="85" t="s">
        <v>186</v>
      </c>
      <c r="J31" s="86"/>
      <c r="K31" s="86">
        <v>41542</v>
      </c>
      <c r="L31" s="85" t="s">
        <v>118</v>
      </c>
      <c r="M31" s="87">
        <v>6</v>
      </c>
      <c r="N31" s="85" t="s">
        <v>186</v>
      </c>
      <c r="O31" s="85" t="s">
        <v>186</v>
      </c>
      <c r="P31" s="119">
        <f t="shared" si="0"/>
        <v>1</v>
      </c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</row>
    <row r="32" spans="1:40" x14ac:dyDescent="0.3">
      <c r="A32" s="85" t="s">
        <v>169</v>
      </c>
      <c r="B32" s="85" t="s">
        <v>184</v>
      </c>
      <c r="C32" s="86">
        <v>41542</v>
      </c>
      <c r="D32" s="85" t="s">
        <v>185</v>
      </c>
      <c r="E32" s="85" t="s">
        <v>105</v>
      </c>
      <c r="F32" s="85" t="s">
        <v>105</v>
      </c>
      <c r="G32" s="87">
        <v>6</v>
      </c>
      <c r="H32" s="85" t="s">
        <v>186</v>
      </c>
      <c r="I32" s="85" t="s">
        <v>186</v>
      </c>
      <c r="J32" s="86"/>
      <c r="K32" s="86">
        <v>41542</v>
      </c>
      <c r="L32" s="85" t="s">
        <v>120</v>
      </c>
      <c r="M32" s="87">
        <v>6</v>
      </c>
      <c r="N32" s="85" t="s">
        <v>186</v>
      </c>
      <c r="O32" s="85" t="s">
        <v>186</v>
      </c>
      <c r="P32" s="119">
        <f t="shared" si="0"/>
        <v>1</v>
      </c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</row>
    <row r="33" spans="1:40" x14ac:dyDescent="0.3">
      <c r="A33" s="85" t="s">
        <v>169</v>
      </c>
      <c r="B33" s="85" t="s">
        <v>184</v>
      </c>
      <c r="C33" s="86">
        <v>41542</v>
      </c>
      <c r="D33" s="85" t="s">
        <v>185</v>
      </c>
      <c r="E33" s="85" t="s">
        <v>105</v>
      </c>
      <c r="F33" s="85" t="s">
        <v>105</v>
      </c>
      <c r="G33" s="87">
        <v>6</v>
      </c>
      <c r="H33" s="85" t="s">
        <v>186</v>
      </c>
      <c r="I33" s="85" t="s">
        <v>186</v>
      </c>
      <c r="J33" s="86"/>
      <c r="K33" s="86">
        <v>41542</v>
      </c>
      <c r="L33" s="85" t="s">
        <v>201</v>
      </c>
      <c r="M33" s="87">
        <v>6</v>
      </c>
      <c r="N33" s="85" t="s">
        <v>186</v>
      </c>
      <c r="O33" s="85" t="s">
        <v>186</v>
      </c>
      <c r="P33" s="119">
        <f t="shared" si="0"/>
        <v>1</v>
      </c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0"/>
      <c r="AL33" s="120"/>
      <c r="AM33" s="120"/>
      <c r="AN33" s="120"/>
    </row>
    <row r="34" spans="1:40" x14ac:dyDescent="0.3">
      <c r="A34" s="85" t="s">
        <v>136</v>
      </c>
      <c r="B34" s="85" t="s">
        <v>184</v>
      </c>
      <c r="C34" s="86">
        <v>41557</v>
      </c>
      <c r="D34" s="85" t="s">
        <v>185</v>
      </c>
      <c r="E34" s="85" t="s">
        <v>105</v>
      </c>
      <c r="F34" s="85" t="s">
        <v>105</v>
      </c>
      <c r="G34" s="87">
        <v>4</v>
      </c>
      <c r="H34" s="85" t="s">
        <v>186</v>
      </c>
      <c r="I34" s="85" t="s">
        <v>186</v>
      </c>
      <c r="J34" s="86"/>
      <c r="K34" s="86">
        <v>41557</v>
      </c>
      <c r="L34" s="85" t="s">
        <v>135</v>
      </c>
      <c r="M34" s="87">
        <v>24</v>
      </c>
      <c r="N34" s="85" t="s">
        <v>186</v>
      </c>
      <c r="O34" s="85" t="s">
        <v>186</v>
      </c>
      <c r="P34" s="119">
        <f t="shared" si="0"/>
        <v>6</v>
      </c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</row>
    <row r="35" spans="1:40" x14ac:dyDescent="0.3">
      <c r="A35" s="85" t="s">
        <v>136</v>
      </c>
      <c r="B35" s="85" t="s">
        <v>184</v>
      </c>
      <c r="C35" s="86">
        <v>41557</v>
      </c>
      <c r="D35" s="85" t="s">
        <v>185</v>
      </c>
      <c r="E35" s="85" t="s">
        <v>105</v>
      </c>
      <c r="F35" s="85" t="s">
        <v>105</v>
      </c>
      <c r="G35" s="87">
        <v>4</v>
      </c>
      <c r="H35" s="85" t="s">
        <v>186</v>
      </c>
      <c r="I35" s="85" t="s">
        <v>186</v>
      </c>
      <c r="J35" s="86"/>
      <c r="K35" s="86">
        <v>41557</v>
      </c>
      <c r="L35" s="85" t="s">
        <v>199</v>
      </c>
      <c r="M35" s="87">
        <v>4</v>
      </c>
      <c r="N35" s="85" t="s">
        <v>186</v>
      </c>
      <c r="O35" s="85" t="s">
        <v>186</v>
      </c>
      <c r="P35" s="119">
        <f t="shared" si="0"/>
        <v>1</v>
      </c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</row>
    <row r="36" spans="1:40" x14ac:dyDescent="0.3">
      <c r="A36" s="85" t="s">
        <v>136</v>
      </c>
      <c r="B36" s="85" t="s">
        <v>184</v>
      </c>
      <c r="C36" s="86">
        <v>41557</v>
      </c>
      <c r="D36" s="85" t="s">
        <v>185</v>
      </c>
      <c r="E36" s="85" t="s">
        <v>105</v>
      </c>
      <c r="F36" s="85" t="s">
        <v>105</v>
      </c>
      <c r="G36" s="87">
        <v>4</v>
      </c>
      <c r="H36" s="85" t="s">
        <v>186</v>
      </c>
      <c r="I36" s="85" t="s">
        <v>186</v>
      </c>
      <c r="J36" s="86"/>
      <c r="K36" s="86">
        <v>41557</v>
      </c>
      <c r="L36" s="85" t="s">
        <v>200</v>
      </c>
      <c r="M36" s="87">
        <v>1</v>
      </c>
      <c r="N36" s="85" t="s">
        <v>186</v>
      </c>
      <c r="O36" s="85" t="s">
        <v>186</v>
      </c>
      <c r="P36" s="119">
        <f t="shared" si="0"/>
        <v>0.25</v>
      </c>
      <c r="Q36" s="120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</row>
    <row r="37" spans="1:40" x14ac:dyDescent="0.3">
      <c r="A37" s="85" t="s">
        <v>142</v>
      </c>
      <c r="B37" s="85" t="s">
        <v>184</v>
      </c>
      <c r="C37" s="86">
        <v>41641</v>
      </c>
      <c r="D37" s="85" t="s">
        <v>185</v>
      </c>
      <c r="E37" s="85" t="s">
        <v>105</v>
      </c>
      <c r="F37" s="85" t="s">
        <v>105</v>
      </c>
      <c r="G37" s="87">
        <v>1</v>
      </c>
      <c r="H37" s="85" t="s">
        <v>186</v>
      </c>
      <c r="I37" s="85" t="s">
        <v>186</v>
      </c>
      <c r="J37" s="86"/>
      <c r="K37" s="86">
        <v>41641</v>
      </c>
      <c r="L37" s="85" t="s">
        <v>138</v>
      </c>
      <c r="M37" s="87">
        <v>18</v>
      </c>
      <c r="N37" s="85" t="s">
        <v>186</v>
      </c>
      <c r="O37" s="85" t="s">
        <v>186</v>
      </c>
      <c r="P37" s="119">
        <f t="shared" ref="P37:P93" si="1">M37/G37</f>
        <v>18</v>
      </c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</row>
    <row r="38" spans="1:40" x14ac:dyDescent="0.3">
      <c r="A38" s="108" t="s">
        <v>202</v>
      </c>
      <c r="B38" s="85" t="s">
        <v>184</v>
      </c>
      <c r="C38" s="86">
        <v>41781</v>
      </c>
      <c r="D38" s="85" t="s">
        <v>185</v>
      </c>
      <c r="E38" s="85" t="s">
        <v>105</v>
      </c>
      <c r="F38" s="85" t="s">
        <v>105</v>
      </c>
      <c r="G38" s="87">
        <v>12</v>
      </c>
      <c r="H38" s="85" t="s">
        <v>186</v>
      </c>
      <c r="I38" s="85" t="s">
        <v>186</v>
      </c>
      <c r="J38" s="86"/>
      <c r="K38" s="86">
        <v>41781</v>
      </c>
      <c r="L38" s="85" t="s">
        <v>148</v>
      </c>
      <c r="M38" s="87">
        <v>12</v>
      </c>
      <c r="N38" s="85" t="s">
        <v>186</v>
      </c>
      <c r="O38" s="85" t="s">
        <v>186</v>
      </c>
      <c r="P38" s="119">
        <f t="shared" si="1"/>
        <v>1</v>
      </c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</row>
    <row r="39" spans="1:40" x14ac:dyDescent="0.3">
      <c r="A39" s="108" t="s">
        <v>202</v>
      </c>
      <c r="B39" s="85" t="s">
        <v>184</v>
      </c>
      <c r="C39" s="86">
        <v>41781</v>
      </c>
      <c r="D39" s="85" t="s">
        <v>185</v>
      </c>
      <c r="E39" s="85" t="s">
        <v>105</v>
      </c>
      <c r="F39" s="85" t="s">
        <v>105</v>
      </c>
      <c r="G39" s="87">
        <v>12</v>
      </c>
      <c r="H39" s="85" t="s">
        <v>186</v>
      </c>
      <c r="I39" s="85" t="s">
        <v>186</v>
      </c>
      <c r="J39" s="86"/>
      <c r="K39" s="86">
        <v>41781</v>
      </c>
      <c r="L39" s="85" t="s">
        <v>203</v>
      </c>
      <c r="M39" s="87">
        <v>1</v>
      </c>
      <c r="N39" s="85" t="s">
        <v>186</v>
      </c>
      <c r="O39" s="85" t="s">
        <v>186</v>
      </c>
      <c r="P39" s="119">
        <f t="shared" si="1"/>
        <v>8.3333333333333329E-2</v>
      </c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</row>
    <row r="40" spans="1:40" x14ac:dyDescent="0.3">
      <c r="A40" s="85" t="s">
        <v>149</v>
      </c>
      <c r="B40" s="85" t="s">
        <v>184</v>
      </c>
      <c r="C40" s="86">
        <v>41781</v>
      </c>
      <c r="D40" s="85" t="s">
        <v>185</v>
      </c>
      <c r="E40" s="85" t="s">
        <v>105</v>
      </c>
      <c r="F40" s="85" t="s">
        <v>105</v>
      </c>
      <c r="G40" s="87">
        <v>12</v>
      </c>
      <c r="H40" s="85" t="s">
        <v>186</v>
      </c>
      <c r="I40" s="85" t="s">
        <v>186</v>
      </c>
      <c r="J40" s="86"/>
      <c r="K40" s="86">
        <v>41781</v>
      </c>
      <c r="L40" s="85" t="s">
        <v>204</v>
      </c>
      <c r="M40" s="87">
        <v>12</v>
      </c>
      <c r="N40" s="85" t="s">
        <v>186</v>
      </c>
      <c r="O40" s="85" t="s">
        <v>186</v>
      </c>
      <c r="P40" s="119">
        <f t="shared" si="1"/>
        <v>1</v>
      </c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</row>
    <row r="41" spans="1:40" x14ac:dyDescent="0.3">
      <c r="A41" s="85" t="s">
        <v>149</v>
      </c>
      <c r="B41" s="85" t="s">
        <v>184</v>
      </c>
      <c r="C41" s="86">
        <v>41781</v>
      </c>
      <c r="D41" s="85" t="s">
        <v>185</v>
      </c>
      <c r="E41" s="85" t="s">
        <v>105</v>
      </c>
      <c r="F41" s="85" t="s">
        <v>105</v>
      </c>
      <c r="G41" s="87">
        <v>12</v>
      </c>
      <c r="H41" s="85" t="s">
        <v>186</v>
      </c>
      <c r="I41" s="85" t="s">
        <v>186</v>
      </c>
      <c r="J41" s="86"/>
      <c r="K41" s="86">
        <v>41781</v>
      </c>
      <c r="L41" s="85" t="s">
        <v>203</v>
      </c>
      <c r="M41" s="87">
        <v>1</v>
      </c>
      <c r="N41" s="85" t="s">
        <v>186</v>
      </c>
      <c r="O41" s="85" t="s">
        <v>186</v>
      </c>
      <c r="P41" s="119">
        <f t="shared" si="1"/>
        <v>8.3333333333333329E-2</v>
      </c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</row>
    <row r="42" spans="1:40" x14ac:dyDescent="0.3">
      <c r="A42" s="85" t="s">
        <v>151</v>
      </c>
      <c r="B42" s="85" t="s">
        <v>184</v>
      </c>
      <c r="C42" s="86">
        <v>41781</v>
      </c>
      <c r="D42" s="85" t="s">
        <v>185</v>
      </c>
      <c r="E42" s="85" t="s">
        <v>105</v>
      </c>
      <c r="F42" s="85" t="s">
        <v>105</v>
      </c>
      <c r="G42" s="87">
        <v>12</v>
      </c>
      <c r="H42" s="85" t="s">
        <v>186</v>
      </c>
      <c r="I42" s="85" t="s">
        <v>186</v>
      </c>
      <c r="J42" s="86"/>
      <c r="K42" s="86">
        <v>41781</v>
      </c>
      <c r="L42" s="85" t="s">
        <v>205</v>
      </c>
      <c r="M42" s="87">
        <v>12</v>
      </c>
      <c r="N42" s="85" t="s">
        <v>186</v>
      </c>
      <c r="O42" s="85" t="s">
        <v>186</v>
      </c>
      <c r="P42" s="119">
        <f t="shared" si="1"/>
        <v>1</v>
      </c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</row>
    <row r="43" spans="1:40" x14ac:dyDescent="0.3">
      <c r="A43" s="85" t="s">
        <v>151</v>
      </c>
      <c r="B43" s="85" t="s">
        <v>184</v>
      </c>
      <c r="C43" s="86">
        <v>41781</v>
      </c>
      <c r="D43" s="85" t="s">
        <v>185</v>
      </c>
      <c r="E43" s="85" t="s">
        <v>105</v>
      </c>
      <c r="F43" s="85" t="s">
        <v>105</v>
      </c>
      <c r="G43" s="87">
        <v>12</v>
      </c>
      <c r="H43" s="85" t="s">
        <v>186</v>
      </c>
      <c r="I43" s="85" t="s">
        <v>186</v>
      </c>
      <c r="J43" s="86"/>
      <c r="K43" s="86">
        <v>41781</v>
      </c>
      <c r="L43" s="85" t="s">
        <v>203</v>
      </c>
      <c r="M43" s="87">
        <v>1</v>
      </c>
      <c r="N43" s="85" t="s">
        <v>186</v>
      </c>
      <c r="O43" s="85" t="s">
        <v>186</v>
      </c>
      <c r="P43" s="119">
        <f t="shared" si="1"/>
        <v>8.3333333333333329E-2</v>
      </c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</row>
    <row r="44" spans="1:40" x14ac:dyDescent="0.3">
      <c r="A44" s="85" t="s">
        <v>150</v>
      </c>
      <c r="B44" s="85" t="s">
        <v>184</v>
      </c>
      <c r="C44" s="86">
        <v>41870</v>
      </c>
      <c r="D44" s="85" t="s">
        <v>185</v>
      </c>
      <c r="E44" s="85" t="s">
        <v>105</v>
      </c>
      <c r="F44" s="85" t="s">
        <v>105</v>
      </c>
      <c r="G44" s="87">
        <v>6</v>
      </c>
      <c r="H44" s="85" t="s">
        <v>186</v>
      </c>
      <c r="I44" s="85" t="s">
        <v>186</v>
      </c>
      <c r="J44" s="86"/>
      <c r="K44" s="86">
        <v>41870</v>
      </c>
      <c r="L44" s="85" t="s">
        <v>204</v>
      </c>
      <c r="M44" s="87">
        <v>36</v>
      </c>
      <c r="N44" s="85" t="s">
        <v>186</v>
      </c>
      <c r="O44" s="85" t="s">
        <v>186</v>
      </c>
      <c r="P44" s="119">
        <f t="shared" si="1"/>
        <v>6</v>
      </c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</row>
    <row r="45" spans="1:40" x14ac:dyDescent="0.3">
      <c r="A45" s="85" t="s">
        <v>150</v>
      </c>
      <c r="B45" s="85" t="s">
        <v>184</v>
      </c>
      <c r="C45" s="86">
        <v>41870</v>
      </c>
      <c r="D45" s="85" t="s">
        <v>185</v>
      </c>
      <c r="E45" s="85" t="s">
        <v>105</v>
      </c>
      <c r="F45" s="85" t="s">
        <v>105</v>
      </c>
      <c r="G45" s="87">
        <v>6</v>
      </c>
      <c r="H45" s="85" t="s">
        <v>186</v>
      </c>
      <c r="I45" s="85" t="s">
        <v>186</v>
      </c>
      <c r="J45" s="86"/>
      <c r="K45" s="86">
        <v>41870</v>
      </c>
      <c r="L45" s="85" t="s">
        <v>206</v>
      </c>
      <c r="M45" s="87">
        <v>6</v>
      </c>
      <c r="N45" s="85" t="s">
        <v>186</v>
      </c>
      <c r="O45" s="85" t="s">
        <v>186</v>
      </c>
      <c r="P45" s="119">
        <f t="shared" si="1"/>
        <v>1</v>
      </c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</row>
    <row r="46" spans="1:40" x14ac:dyDescent="0.3">
      <c r="A46" s="85" t="s">
        <v>150</v>
      </c>
      <c r="B46" s="85" t="s">
        <v>184</v>
      </c>
      <c r="C46" s="86">
        <v>41870</v>
      </c>
      <c r="D46" s="85" t="s">
        <v>185</v>
      </c>
      <c r="E46" s="85" t="s">
        <v>105</v>
      </c>
      <c r="F46" s="85" t="s">
        <v>105</v>
      </c>
      <c r="G46" s="87">
        <v>6</v>
      </c>
      <c r="H46" s="85" t="s">
        <v>186</v>
      </c>
      <c r="I46" s="85" t="s">
        <v>186</v>
      </c>
      <c r="J46" s="86"/>
      <c r="K46" s="86">
        <v>41870</v>
      </c>
      <c r="L46" s="85" t="s">
        <v>207</v>
      </c>
      <c r="M46" s="87">
        <v>1</v>
      </c>
      <c r="N46" s="85" t="s">
        <v>186</v>
      </c>
      <c r="O46" s="85" t="s">
        <v>186</v>
      </c>
      <c r="P46" s="119">
        <f t="shared" si="1"/>
        <v>0.16666666666666666</v>
      </c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</row>
    <row r="47" spans="1:40" x14ac:dyDescent="0.3">
      <c r="A47" s="85" t="s">
        <v>152</v>
      </c>
      <c r="B47" s="85" t="s">
        <v>184</v>
      </c>
      <c r="C47" s="86">
        <v>41870</v>
      </c>
      <c r="D47" s="85" t="s">
        <v>185</v>
      </c>
      <c r="E47" s="85" t="s">
        <v>105</v>
      </c>
      <c r="F47" s="85" t="s">
        <v>105</v>
      </c>
      <c r="G47" s="87">
        <v>6</v>
      </c>
      <c r="H47" s="85" t="s">
        <v>186</v>
      </c>
      <c r="I47" s="85" t="s">
        <v>186</v>
      </c>
      <c r="J47" s="86"/>
      <c r="K47" s="86">
        <v>41870</v>
      </c>
      <c r="L47" s="85" t="s">
        <v>205</v>
      </c>
      <c r="M47" s="87">
        <v>36</v>
      </c>
      <c r="N47" s="85" t="s">
        <v>186</v>
      </c>
      <c r="O47" s="85" t="s">
        <v>186</v>
      </c>
      <c r="P47" s="119">
        <f t="shared" si="1"/>
        <v>6</v>
      </c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</row>
    <row r="48" spans="1:40" x14ac:dyDescent="0.3">
      <c r="A48" s="85" t="s">
        <v>152</v>
      </c>
      <c r="B48" s="85" t="s">
        <v>184</v>
      </c>
      <c r="C48" s="86">
        <v>41870</v>
      </c>
      <c r="D48" s="85" t="s">
        <v>185</v>
      </c>
      <c r="E48" s="85" t="s">
        <v>105</v>
      </c>
      <c r="F48" s="85" t="s">
        <v>105</v>
      </c>
      <c r="G48" s="87">
        <v>6</v>
      </c>
      <c r="H48" s="85" t="s">
        <v>186</v>
      </c>
      <c r="I48" s="85" t="s">
        <v>186</v>
      </c>
      <c r="J48" s="86"/>
      <c r="K48" s="86">
        <v>41870</v>
      </c>
      <c r="L48" s="85" t="s">
        <v>208</v>
      </c>
      <c r="M48" s="87">
        <v>6</v>
      </c>
      <c r="N48" s="85" t="s">
        <v>186</v>
      </c>
      <c r="O48" s="85" t="s">
        <v>186</v>
      </c>
      <c r="P48" s="119">
        <f t="shared" si="1"/>
        <v>1</v>
      </c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</row>
    <row r="49" spans="1:40" x14ac:dyDescent="0.3">
      <c r="A49" s="85" t="s">
        <v>152</v>
      </c>
      <c r="B49" s="85" t="s">
        <v>184</v>
      </c>
      <c r="C49" s="86">
        <v>41870</v>
      </c>
      <c r="D49" s="85" t="s">
        <v>185</v>
      </c>
      <c r="E49" s="85" t="s">
        <v>105</v>
      </c>
      <c r="F49" s="85" t="s">
        <v>105</v>
      </c>
      <c r="G49" s="87">
        <v>6</v>
      </c>
      <c r="H49" s="85" t="s">
        <v>186</v>
      </c>
      <c r="I49" s="85" t="s">
        <v>186</v>
      </c>
      <c r="J49" s="86"/>
      <c r="K49" s="86">
        <v>41870</v>
      </c>
      <c r="L49" s="85" t="s">
        <v>207</v>
      </c>
      <c r="M49" s="87">
        <v>1</v>
      </c>
      <c r="N49" s="85" t="s">
        <v>186</v>
      </c>
      <c r="O49" s="85" t="s">
        <v>186</v>
      </c>
      <c r="P49" s="119">
        <f t="shared" si="1"/>
        <v>0.16666666666666666</v>
      </c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</row>
    <row r="50" spans="1:40" x14ac:dyDescent="0.3">
      <c r="A50" s="85" t="s">
        <v>116</v>
      </c>
      <c r="B50" s="85" t="s">
        <v>184</v>
      </c>
      <c r="C50" s="86">
        <v>42004</v>
      </c>
      <c r="D50" s="85" t="s">
        <v>185</v>
      </c>
      <c r="E50" s="85" t="s">
        <v>105</v>
      </c>
      <c r="F50" s="85" t="s">
        <v>105</v>
      </c>
      <c r="G50" s="87">
        <v>6</v>
      </c>
      <c r="H50" s="85" t="s">
        <v>186</v>
      </c>
      <c r="I50" s="85" t="s">
        <v>186</v>
      </c>
      <c r="J50" s="86"/>
      <c r="K50" s="86">
        <v>42004</v>
      </c>
      <c r="L50" s="85" t="s">
        <v>115</v>
      </c>
      <c r="M50" s="87">
        <v>24</v>
      </c>
      <c r="N50" s="85" t="s">
        <v>186</v>
      </c>
      <c r="O50" s="85" t="s">
        <v>186</v>
      </c>
      <c r="P50" s="119">
        <f t="shared" si="1"/>
        <v>4</v>
      </c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</row>
    <row r="51" spans="1:40" x14ac:dyDescent="0.3">
      <c r="A51" s="85" t="s">
        <v>116</v>
      </c>
      <c r="B51" s="85" t="s">
        <v>184</v>
      </c>
      <c r="C51" s="86">
        <v>42004</v>
      </c>
      <c r="D51" s="85" t="s">
        <v>185</v>
      </c>
      <c r="E51" s="85" t="s">
        <v>105</v>
      </c>
      <c r="F51" s="85" t="s">
        <v>105</v>
      </c>
      <c r="G51" s="87">
        <v>6</v>
      </c>
      <c r="H51" s="85" t="s">
        <v>186</v>
      </c>
      <c r="I51" s="85" t="s">
        <v>186</v>
      </c>
      <c r="J51" s="86"/>
      <c r="K51" s="86">
        <v>42004</v>
      </c>
      <c r="L51" s="85" t="s">
        <v>196</v>
      </c>
      <c r="M51" s="87">
        <v>6</v>
      </c>
      <c r="N51" s="85" t="s">
        <v>186</v>
      </c>
      <c r="O51" s="85" t="s">
        <v>186</v>
      </c>
      <c r="P51" s="119">
        <f t="shared" si="1"/>
        <v>1</v>
      </c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</row>
    <row r="52" spans="1:40" x14ac:dyDescent="0.3">
      <c r="A52" s="85" t="s">
        <v>116</v>
      </c>
      <c r="B52" s="85" t="s">
        <v>184</v>
      </c>
      <c r="C52" s="86">
        <v>42004</v>
      </c>
      <c r="D52" s="85" t="s">
        <v>185</v>
      </c>
      <c r="E52" s="85" t="s">
        <v>105</v>
      </c>
      <c r="F52" s="85" t="s">
        <v>105</v>
      </c>
      <c r="G52" s="87">
        <v>6</v>
      </c>
      <c r="H52" s="85" t="s">
        <v>186</v>
      </c>
      <c r="I52" s="85" t="s">
        <v>186</v>
      </c>
      <c r="J52" s="86"/>
      <c r="K52" s="86">
        <v>42004</v>
      </c>
      <c r="L52" s="85" t="s">
        <v>197</v>
      </c>
      <c r="M52" s="87">
        <v>1</v>
      </c>
      <c r="N52" s="85" t="s">
        <v>186</v>
      </c>
      <c r="O52" s="85" t="s">
        <v>186</v>
      </c>
      <c r="P52" s="119">
        <f t="shared" si="1"/>
        <v>0.16666666666666666</v>
      </c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</row>
    <row r="53" spans="1:40" x14ac:dyDescent="0.3">
      <c r="A53" s="85" t="s">
        <v>116</v>
      </c>
      <c r="B53" s="85" t="s">
        <v>184</v>
      </c>
      <c r="C53" s="86">
        <v>42004</v>
      </c>
      <c r="D53" s="85" t="s">
        <v>185</v>
      </c>
      <c r="E53" s="85" t="s">
        <v>105</v>
      </c>
      <c r="F53" s="85" t="s">
        <v>105</v>
      </c>
      <c r="G53" s="87">
        <v>6</v>
      </c>
      <c r="H53" s="85" t="s">
        <v>186</v>
      </c>
      <c r="I53" s="85" t="s">
        <v>186</v>
      </c>
      <c r="J53" s="86"/>
      <c r="K53" s="86">
        <v>42004</v>
      </c>
      <c r="L53" s="85" t="s">
        <v>209</v>
      </c>
      <c r="M53" s="87">
        <v>6</v>
      </c>
      <c r="N53" s="85" t="s">
        <v>186</v>
      </c>
      <c r="O53" s="85" t="s">
        <v>186</v>
      </c>
      <c r="P53" s="119">
        <f t="shared" si="1"/>
        <v>1</v>
      </c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</row>
    <row r="54" spans="1:40" x14ac:dyDescent="0.3">
      <c r="A54" s="85" t="s">
        <v>144</v>
      </c>
      <c r="B54" s="85" t="s">
        <v>184</v>
      </c>
      <c r="C54" s="86">
        <v>42004</v>
      </c>
      <c r="D54" s="85" t="s">
        <v>185</v>
      </c>
      <c r="E54" s="85" t="s">
        <v>105</v>
      </c>
      <c r="F54" s="85" t="s">
        <v>105</v>
      </c>
      <c r="G54" s="87">
        <v>6</v>
      </c>
      <c r="H54" s="85" t="s">
        <v>186</v>
      </c>
      <c r="I54" s="85" t="s">
        <v>186</v>
      </c>
      <c r="J54" s="86"/>
      <c r="K54" s="86">
        <v>42004</v>
      </c>
      <c r="L54" s="85" t="s">
        <v>210</v>
      </c>
      <c r="M54" s="87">
        <v>6</v>
      </c>
      <c r="N54" s="85" t="s">
        <v>186</v>
      </c>
      <c r="O54" s="85" t="s">
        <v>186</v>
      </c>
      <c r="P54" s="119">
        <f t="shared" si="1"/>
        <v>1</v>
      </c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</row>
    <row r="55" spans="1:40" x14ac:dyDescent="0.3">
      <c r="A55" s="85" t="s">
        <v>144</v>
      </c>
      <c r="B55" s="85" t="s">
        <v>184</v>
      </c>
      <c r="C55" s="86">
        <v>42004</v>
      </c>
      <c r="D55" s="85" t="s">
        <v>185</v>
      </c>
      <c r="E55" s="85" t="s">
        <v>105</v>
      </c>
      <c r="F55" s="85" t="s">
        <v>105</v>
      </c>
      <c r="G55" s="87">
        <v>6</v>
      </c>
      <c r="H55" s="85" t="s">
        <v>186</v>
      </c>
      <c r="I55" s="85" t="s">
        <v>186</v>
      </c>
      <c r="J55" s="86"/>
      <c r="K55" s="86">
        <v>42004</v>
      </c>
      <c r="L55" s="85" t="s">
        <v>143</v>
      </c>
      <c r="M55" s="87">
        <v>24</v>
      </c>
      <c r="N55" s="85" t="s">
        <v>186</v>
      </c>
      <c r="O55" s="85" t="s">
        <v>186</v>
      </c>
      <c r="P55" s="119">
        <f t="shared" si="1"/>
        <v>4</v>
      </c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</row>
    <row r="56" spans="1:40" x14ac:dyDescent="0.3">
      <c r="A56" s="85" t="s">
        <v>144</v>
      </c>
      <c r="B56" s="85" t="s">
        <v>184</v>
      </c>
      <c r="C56" s="86">
        <v>42004</v>
      </c>
      <c r="D56" s="85" t="s">
        <v>185</v>
      </c>
      <c r="E56" s="85" t="s">
        <v>105</v>
      </c>
      <c r="F56" s="85" t="s">
        <v>105</v>
      </c>
      <c r="G56" s="87">
        <v>6</v>
      </c>
      <c r="H56" s="85" t="s">
        <v>186</v>
      </c>
      <c r="I56" s="85" t="s">
        <v>186</v>
      </c>
      <c r="J56" s="86"/>
      <c r="K56" s="86">
        <v>42004</v>
      </c>
      <c r="L56" s="85" t="s">
        <v>196</v>
      </c>
      <c r="M56" s="87">
        <v>6</v>
      </c>
      <c r="N56" s="85" t="s">
        <v>186</v>
      </c>
      <c r="O56" s="85" t="s">
        <v>186</v>
      </c>
      <c r="P56" s="119">
        <f t="shared" si="1"/>
        <v>1</v>
      </c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</row>
    <row r="57" spans="1:40" x14ac:dyDescent="0.3">
      <c r="A57" s="85" t="s">
        <v>144</v>
      </c>
      <c r="B57" s="85" t="s">
        <v>184</v>
      </c>
      <c r="C57" s="86">
        <v>42004</v>
      </c>
      <c r="D57" s="85" t="s">
        <v>185</v>
      </c>
      <c r="E57" s="85" t="s">
        <v>105</v>
      </c>
      <c r="F57" s="85" t="s">
        <v>105</v>
      </c>
      <c r="G57" s="87">
        <v>6</v>
      </c>
      <c r="H57" s="85" t="s">
        <v>186</v>
      </c>
      <c r="I57" s="85" t="s">
        <v>186</v>
      </c>
      <c r="J57" s="86"/>
      <c r="K57" s="86">
        <v>42004</v>
      </c>
      <c r="L57" s="85" t="s">
        <v>197</v>
      </c>
      <c r="M57" s="87">
        <v>1</v>
      </c>
      <c r="N57" s="85" t="s">
        <v>186</v>
      </c>
      <c r="O57" s="85" t="s">
        <v>186</v>
      </c>
      <c r="P57" s="119">
        <f t="shared" si="1"/>
        <v>0.16666666666666666</v>
      </c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</row>
    <row r="58" spans="1:40" x14ac:dyDescent="0.3">
      <c r="A58" s="85" t="s">
        <v>155</v>
      </c>
      <c r="B58" s="85" t="s">
        <v>184</v>
      </c>
      <c r="C58" s="86">
        <v>42102</v>
      </c>
      <c r="D58" s="85" t="s">
        <v>185</v>
      </c>
      <c r="E58" s="85" t="s">
        <v>105</v>
      </c>
      <c r="F58" s="85" t="s">
        <v>105</v>
      </c>
      <c r="G58" s="87">
        <v>1</v>
      </c>
      <c r="H58" s="85" t="s">
        <v>186</v>
      </c>
      <c r="I58" s="85" t="s">
        <v>186</v>
      </c>
      <c r="J58" s="86"/>
      <c r="K58" s="86">
        <v>42102</v>
      </c>
      <c r="L58" s="85" t="s">
        <v>154</v>
      </c>
      <c r="M58" s="87">
        <v>6</v>
      </c>
      <c r="N58" s="85" t="s">
        <v>186</v>
      </c>
      <c r="O58" s="85" t="s">
        <v>186</v>
      </c>
      <c r="P58" s="119">
        <f t="shared" si="1"/>
        <v>6</v>
      </c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</row>
    <row r="59" spans="1:40" x14ac:dyDescent="0.3">
      <c r="A59" s="85" t="s">
        <v>155</v>
      </c>
      <c r="B59" s="85" t="s">
        <v>184</v>
      </c>
      <c r="C59" s="86">
        <v>42102</v>
      </c>
      <c r="D59" s="85" t="s">
        <v>185</v>
      </c>
      <c r="E59" s="85" t="s">
        <v>105</v>
      </c>
      <c r="F59" s="85" t="s">
        <v>105</v>
      </c>
      <c r="G59" s="87">
        <v>1</v>
      </c>
      <c r="H59" s="85" t="s">
        <v>186</v>
      </c>
      <c r="I59" s="85" t="s">
        <v>186</v>
      </c>
      <c r="J59" s="86"/>
      <c r="K59" s="86">
        <v>42102</v>
      </c>
      <c r="L59" s="85" t="s">
        <v>211</v>
      </c>
      <c r="M59" s="87">
        <v>1</v>
      </c>
      <c r="N59" s="85" t="s">
        <v>186</v>
      </c>
      <c r="O59" s="85" t="s">
        <v>186</v>
      </c>
      <c r="P59" s="119">
        <f t="shared" si="1"/>
        <v>1</v>
      </c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</row>
    <row r="60" spans="1:40" x14ac:dyDescent="0.3">
      <c r="A60" s="85" t="s">
        <v>157</v>
      </c>
      <c r="B60" s="85" t="s">
        <v>184</v>
      </c>
      <c r="C60" s="86">
        <v>42102</v>
      </c>
      <c r="D60" s="85" t="s">
        <v>185</v>
      </c>
      <c r="E60" s="85" t="s">
        <v>105</v>
      </c>
      <c r="F60" s="85" t="s">
        <v>105</v>
      </c>
      <c r="G60" s="87">
        <v>1</v>
      </c>
      <c r="H60" s="85" t="s">
        <v>186</v>
      </c>
      <c r="I60" s="85" t="s">
        <v>186</v>
      </c>
      <c r="J60" s="86"/>
      <c r="K60" s="86">
        <v>42102</v>
      </c>
      <c r="L60" s="85" t="s">
        <v>156</v>
      </c>
      <c r="M60" s="87">
        <v>6</v>
      </c>
      <c r="N60" s="85" t="s">
        <v>186</v>
      </c>
      <c r="O60" s="85" t="s">
        <v>186</v>
      </c>
      <c r="P60" s="119">
        <f t="shared" si="1"/>
        <v>6</v>
      </c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</row>
    <row r="61" spans="1:40" x14ac:dyDescent="0.3">
      <c r="A61" s="85" t="s">
        <v>157</v>
      </c>
      <c r="B61" s="85" t="s">
        <v>184</v>
      </c>
      <c r="C61" s="86">
        <v>42102</v>
      </c>
      <c r="D61" s="85" t="s">
        <v>185</v>
      </c>
      <c r="E61" s="85" t="s">
        <v>105</v>
      </c>
      <c r="F61" s="85" t="s">
        <v>105</v>
      </c>
      <c r="G61" s="87">
        <v>1</v>
      </c>
      <c r="H61" s="85" t="s">
        <v>186</v>
      </c>
      <c r="I61" s="85" t="s">
        <v>186</v>
      </c>
      <c r="J61" s="86"/>
      <c r="K61" s="86">
        <v>42102</v>
      </c>
      <c r="L61" s="85" t="s">
        <v>211</v>
      </c>
      <c r="M61" s="87">
        <v>1</v>
      </c>
      <c r="N61" s="85" t="s">
        <v>186</v>
      </c>
      <c r="O61" s="85" t="s">
        <v>186</v>
      </c>
      <c r="P61" s="119">
        <f t="shared" si="1"/>
        <v>1</v>
      </c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</row>
    <row r="62" spans="1:40" x14ac:dyDescent="0.3">
      <c r="A62" s="85" t="s">
        <v>123</v>
      </c>
      <c r="B62" s="85" t="s">
        <v>184</v>
      </c>
      <c r="C62" s="86">
        <v>42102</v>
      </c>
      <c r="D62" s="85" t="s">
        <v>185</v>
      </c>
      <c r="E62" s="85" t="s">
        <v>105</v>
      </c>
      <c r="F62" s="85" t="s">
        <v>105</v>
      </c>
      <c r="G62" s="87">
        <v>1</v>
      </c>
      <c r="H62" s="85" t="s">
        <v>186</v>
      </c>
      <c r="I62" s="85" t="s">
        <v>186</v>
      </c>
      <c r="J62" s="86"/>
      <c r="K62" s="86">
        <v>42102</v>
      </c>
      <c r="L62" s="85" t="s">
        <v>122</v>
      </c>
      <c r="M62" s="87">
        <v>6</v>
      </c>
      <c r="N62" s="85" t="s">
        <v>186</v>
      </c>
      <c r="O62" s="85" t="s">
        <v>186</v>
      </c>
      <c r="P62" s="119">
        <f t="shared" si="1"/>
        <v>6</v>
      </c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</row>
    <row r="63" spans="1:40" x14ac:dyDescent="0.3">
      <c r="A63" s="85" t="s">
        <v>123</v>
      </c>
      <c r="B63" s="85" t="s">
        <v>184</v>
      </c>
      <c r="C63" s="86">
        <v>42102</v>
      </c>
      <c r="D63" s="85" t="s">
        <v>185</v>
      </c>
      <c r="E63" s="85" t="s">
        <v>105</v>
      </c>
      <c r="F63" s="85" t="s">
        <v>105</v>
      </c>
      <c r="G63" s="87">
        <v>1</v>
      </c>
      <c r="H63" s="85" t="s">
        <v>186</v>
      </c>
      <c r="I63" s="85" t="s">
        <v>186</v>
      </c>
      <c r="J63" s="86"/>
      <c r="K63" s="86">
        <v>42102</v>
      </c>
      <c r="L63" s="85" t="s">
        <v>212</v>
      </c>
      <c r="M63" s="87">
        <v>1</v>
      </c>
      <c r="N63" s="85" t="s">
        <v>186</v>
      </c>
      <c r="O63" s="85" t="s">
        <v>186</v>
      </c>
      <c r="P63" s="119">
        <f t="shared" si="1"/>
        <v>1</v>
      </c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</row>
    <row r="64" spans="1:40" x14ac:dyDescent="0.3">
      <c r="A64" s="85" t="s">
        <v>159</v>
      </c>
      <c r="B64" s="85" t="s">
        <v>184</v>
      </c>
      <c r="C64" s="86">
        <v>42102</v>
      </c>
      <c r="D64" s="85" t="s">
        <v>185</v>
      </c>
      <c r="E64" s="85" t="s">
        <v>105</v>
      </c>
      <c r="F64" s="85" t="s">
        <v>105</v>
      </c>
      <c r="G64" s="87">
        <v>1</v>
      </c>
      <c r="H64" s="85" t="s">
        <v>186</v>
      </c>
      <c r="I64" s="85" t="s">
        <v>186</v>
      </c>
      <c r="J64" s="86"/>
      <c r="K64" s="86">
        <v>42102</v>
      </c>
      <c r="L64" s="85" t="s">
        <v>158</v>
      </c>
      <c r="M64" s="87">
        <v>6</v>
      </c>
      <c r="N64" s="85" t="s">
        <v>186</v>
      </c>
      <c r="O64" s="85" t="s">
        <v>186</v>
      </c>
      <c r="P64" s="119">
        <f t="shared" si="1"/>
        <v>6</v>
      </c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</row>
    <row r="65" spans="1:40" x14ac:dyDescent="0.3">
      <c r="A65" s="85" t="s">
        <v>159</v>
      </c>
      <c r="B65" s="85" t="s">
        <v>184</v>
      </c>
      <c r="C65" s="86">
        <v>42102</v>
      </c>
      <c r="D65" s="85" t="s">
        <v>185</v>
      </c>
      <c r="E65" s="85" t="s">
        <v>105</v>
      </c>
      <c r="F65" s="85" t="s">
        <v>105</v>
      </c>
      <c r="G65" s="87">
        <v>1</v>
      </c>
      <c r="H65" s="85" t="s">
        <v>186</v>
      </c>
      <c r="I65" s="85" t="s">
        <v>186</v>
      </c>
      <c r="J65" s="86"/>
      <c r="K65" s="86">
        <v>42102</v>
      </c>
      <c r="L65" s="85" t="s">
        <v>212</v>
      </c>
      <c r="M65" s="87">
        <v>1</v>
      </c>
      <c r="N65" s="85" t="s">
        <v>186</v>
      </c>
      <c r="O65" s="85" t="s">
        <v>186</v>
      </c>
      <c r="P65" s="119">
        <f t="shared" si="1"/>
        <v>1</v>
      </c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</row>
    <row r="66" spans="1:40" x14ac:dyDescent="0.3">
      <c r="A66" s="85" t="s">
        <v>125</v>
      </c>
      <c r="B66" s="85" t="s">
        <v>184</v>
      </c>
      <c r="C66" s="86">
        <v>42117</v>
      </c>
      <c r="D66" s="85" t="s">
        <v>185</v>
      </c>
      <c r="E66" s="85" t="s">
        <v>105</v>
      </c>
      <c r="F66" s="85" t="s">
        <v>105</v>
      </c>
      <c r="G66" s="87">
        <v>1</v>
      </c>
      <c r="H66" s="85" t="s">
        <v>186</v>
      </c>
      <c r="I66" s="85" t="s">
        <v>186</v>
      </c>
      <c r="J66" s="86"/>
      <c r="K66" s="86">
        <v>42117</v>
      </c>
      <c r="L66" s="85" t="s">
        <v>124</v>
      </c>
      <c r="M66" s="87">
        <v>6</v>
      </c>
      <c r="N66" s="85" t="s">
        <v>186</v>
      </c>
      <c r="O66" s="85" t="s">
        <v>186</v>
      </c>
      <c r="P66" s="119">
        <f t="shared" si="1"/>
        <v>6</v>
      </c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</row>
    <row r="67" spans="1:40" x14ac:dyDescent="0.3">
      <c r="A67" s="85" t="s">
        <v>125</v>
      </c>
      <c r="B67" s="85" t="s">
        <v>184</v>
      </c>
      <c r="C67" s="86">
        <v>42117</v>
      </c>
      <c r="D67" s="85" t="s">
        <v>185</v>
      </c>
      <c r="E67" s="85" t="s">
        <v>105</v>
      </c>
      <c r="F67" s="85" t="s">
        <v>105</v>
      </c>
      <c r="G67" s="87">
        <v>1</v>
      </c>
      <c r="H67" s="85" t="s">
        <v>186</v>
      </c>
      <c r="I67" s="85" t="s">
        <v>186</v>
      </c>
      <c r="J67" s="86"/>
      <c r="K67" s="86">
        <v>42117</v>
      </c>
      <c r="L67" s="85" t="s">
        <v>212</v>
      </c>
      <c r="M67" s="87">
        <v>1</v>
      </c>
      <c r="N67" s="85" t="s">
        <v>186</v>
      </c>
      <c r="O67" s="85" t="s">
        <v>186</v>
      </c>
      <c r="P67" s="119">
        <f t="shared" si="1"/>
        <v>1</v>
      </c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</row>
    <row r="68" spans="1:40" x14ac:dyDescent="0.3">
      <c r="A68" s="85" t="s">
        <v>162</v>
      </c>
      <c r="B68" s="85" t="s">
        <v>184</v>
      </c>
      <c r="C68" s="86">
        <v>42187</v>
      </c>
      <c r="D68" s="85" t="s">
        <v>185</v>
      </c>
      <c r="E68" s="85" t="s">
        <v>105</v>
      </c>
      <c r="F68" s="85" t="s">
        <v>105</v>
      </c>
      <c r="G68" s="87">
        <v>1</v>
      </c>
      <c r="H68" s="85" t="s">
        <v>186</v>
      </c>
      <c r="I68" s="85" t="s">
        <v>186</v>
      </c>
      <c r="J68" s="86"/>
      <c r="K68" s="86">
        <v>42187</v>
      </c>
      <c r="L68" s="85" t="s">
        <v>161</v>
      </c>
      <c r="M68" s="87">
        <v>6</v>
      </c>
      <c r="N68" s="85" t="s">
        <v>186</v>
      </c>
      <c r="O68" s="85" t="s">
        <v>186</v>
      </c>
      <c r="P68" s="119">
        <f t="shared" si="1"/>
        <v>6</v>
      </c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</row>
    <row r="69" spans="1:40" x14ac:dyDescent="0.3">
      <c r="A69" s="85" t="s">
        <v>162</v>
      </c>
      <c r="B69" s="85" t="s">
        <v>184</v>
      </c>
      <c r="C69" s="86">
        <v>42187</v>
      </c>
      <c r="D69" s="85" t="s">
        <v>185</v>
      </c>
      <c r="E69" s="85" t="s">
        <v>105</v>
      </c>
      <c r="F69" s="85" t="s">
        <v>105</v>
      </c>
      <c r="G69" s="87">
        <v>1</v>
      </c>
      <c r="H69" s="85" t="s">
        <v>186</v>
      </c>
      <c r="I69" s="85" t="s">
        <v>186</v>
      </c>
      <c r="J69" s="86"/>
      <c r="K69" s="86">
        <v>42187</v>
      </c>
      <c r="L69" s="85" t="s">
        <v>211</v>
      </c>
      <c r="M69" s="87">
        <v>1</v>
      </c>
      <c r="N69" s="85" t="s">
        <v>186</v>
      </c>
      <c r="O69" s="85" t="s">
        <v>186</v>
      </c>
      <c r="P69" s="119">
        <f t="shared" si="1"/>
        <v>1</v>
      </c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</row>
    <row r="70" spans="1:40" x14ac:dyDescent="0.3">
      <c r="A70" s="85" t="s">
        <v>164</v>
      </c>
      <c r="B70" s="85" t="s">
        <v>184</v>
      </c>
      <c r="C70" s="86">
        <v>42187</v>
      </c>
      <c r="D70" s="85" t="s">
        <v>185</v>
      </c>
      <c r="E70" s="85" t="s">
        <v>105</v>
      </c>
      <c r="F70" s="85" t="s">
        <v>105</v>
      </c>
      <c r="G70" s="87">
        <v>1</v>
      </c>
      <c r="H70" s="85" t="s">
        <v>186</v>
      </c>
      <c r="I70" s="85" t="s">
        <v>186</v>
      </c>
      <c r="J70" s="86"/>
      <c r="K70" s="86">
        <v>42187</v>
      </c>
      <c r="L70" s="85" t="s">
        <v>163</v>
      </c>
      <c r="M70" s="87">
        <v>6</v>
      </c>
      <c r="N70" s="85" t="s">
        <v>186</v>
      </c>
      <c r="O70" s="85" t="s">
        <v>186</v>
      </c>
      <c r="P70" s="119">
        <f t="shared" si="1"/>
        <v>6</v>
      </c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</row>
    <row r="71" spans="1:40" x14ac:dyDescent="0.3">
      <c r="A71" s="85" t="s">
        <v>164</v>
      </c>
      <c r="B71" s="85" t="s">
        <v>184</v>
      </c>
      <c r="C71" s="86">
        <v>42187</v>
      </c>
      <c r="D71" s="85" t="s">
        <v>185</v>
      </c>
      <c r="E71" s="85" t="s">
        <v>105</v>
      </c>
      <c r="F71" s="85" t="s">
        <v>105</v>
      </c>
      <c r="G71" s="87">
        <v>1</v>
      </c>
      <c r="H71" s="85" t="s">
        <v>186</v>
      </c>
      <c r="I71" s="85" t="s">
        <v>186</v>
      </c>
      <c r="J71" s="86"/>
      <c r="K71" s="86">
        <v>42187</v>
      </c>
      <c r="L71" s="85" t="s">
        <v>211</v>
      </c>
      <c r="M71" s="87">
        <v>1</v>
      </c>
      <c r="N71" s="85" t="s">
        <v>186</v>
      </c>
      <c r="O71" s="85" t="s">
        <v>186</v>
      </c>
      <c r="P71" s="119">
        <f t="shared" si="1"/>
        <v>1</v>
      </c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</row>
    <row r="72" spans="1:40" x14ac:dyDescent="0.3">
      <c r="A72" s="85" t="s">
        <v>167</v>
      </c>
      <c r="B72" s="85" t="s">
        <v>184</v>
      </c>
      <c r="C72" s="86">
        <v>42187</v>
      </c>
      <c r="D72" s="85" t="s">
        <v>185</v>
      </c>
      <c r="E72" s="85" t="s">
        <v>105</v>
      </c>
      <c r="F72" s="85" t="s">
        <v>105</v>
      </c>
      <c r="G72" s="87">
        <v>1</v>
      </c>
      <c r="H72" s="85" t="s">
        <v>186</v>
      </c>
      <c r="I72" s="85" t="s">
        <v>186</v>
      </c>
      <c r="J72" s="86"/>
      <c r="K72" s="86">
        <v>42187</v>
      </c>
      <c r="L72" s="85" t="s">
        <v>166</v>
      </c>
      <c r="M72" s="87">
        <v>6</v>
      </c>
      <c r="N72" s="85" t="s">
        <v>186</v>
      </c>
      <c r="O72" s="85" t="s">
        <v>186</v>
      </c>
      <c r="P72" s="119">
        <f t="shared" si="1"/>
        <v>6</v>
      </c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</row>
    <row r="73" spans="1:40" x14ac:dyDescent="0.3">
      <c r="A73" s="85" t="s">
        <v>167</v>
      </c>
      <c r="B73" s="85" t="s">
        <v>184</v>
      </c>
      <c r="C73" s="86">
        <v>42187</v>
      </c>
      <c r="D73" s="85" t="s">
        <v>185</v>
      </c>
      <c r="E73" s="85" t="s">
        <v>105</v>
      </c>
      <c r="F73" s="85" t="s">
        <v>105</v>
      </c>
      <c r="G73" s="87">
        <v>1</v>
      </c>
      <c r="H73" s="85" t="s">
        <v>186</v>
      </c>
      <c r="I73" s="85" t="s">
        <v>186</v>
      </c>
      <c r="J73" s="86"/>
      <c r="K73" s="86">
        <v>42187</v>
      </c>
      <c r="L73" s="85" t="s">
        <v>211</v>
      </c>
      <c r="M73" s="87">
        <v>1</v>
      </c>
      <c r="N73" s="85" t="s">
        <v>186</v>
      </c>
      <c r="O73" s="85" t="s">
        <v>186</v>
      </c>
      <c r="P73" s="119">
        <f t="shared" si="1"/>
        <v>1</v>
      </c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</row>
    <row r="74" spans="1:40" x14ac:dyDescent="0.3">
      <c r="A74" s="108" t="s">
        <v>213</v>
      </c>
      <c r="B74" s="85" t="s">
        <v>184</v>
      </c>
      <c r="C74" s="86">
        <v>42187</v>
      </c>
      <c r="D74" s="85" t="s">
        <v>185</v>
      </c>
      <c r="E74" s="85" t="s">
        <v>105</v>
      </c>
      <c r="F74" s="85" t="s">
        <v>105</v>
      </c>
      <c r="G74" s="87">
        <v>1</v>
      </c>
      <c r="H74" s="85" t="s">
        <v>186</v>
      </c>
      <c r="I74" s="85" t="s">
        <v>186</v>
      </c>
      <c r="J74" s="86"/>
      <c r="K74" s="86">
        <v>42187</v>
      </c>
      <c r="L74" s="85" t="s">
        <v>133</v>
      </c>
      <c r="M74" s="87">
        <v>6</v>
      </c>
      <c r="N74" s="85" t="s">
        <v>186</v>
      </c>
      <c r="O74" s="85" t="s">
        <v>186</v>
      </c>
      <c r="P74" s="119">
        <f t="shared" si="1"/>
        <v>6</v>
      </c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</row>
    <row r="75" spans="1:40" x14ac:dyDescent="0.3">
      <c r="A75" s="108" t="s">
        <v>213</v>
      </c>
      <c r="B75" s="85" t="s">
        <v>184</v>
      </c>
      <c r="C75" s="86">
        <v>42187</v>
      </c>
      <c r="D75" s="85" t="s">
        <v>185</v>
      </c>
      <c r="E75" s="85" t="s">
        <v>105</v>
      </c>
      <c r="F75" s="85" t="s">
        <v>105</v>
      </c>
      <c r="G75" s="87">
        <v>1</v>
      </c>
      <c r="H75" s="85" t="s">
        <v>186</v>
      </c>
      <c r="I75" s="85" t="s">
        <v>186</v>
      </c>
      <c r="J75" s="86"/>
      <c r="K75" s="86">
        <v>42187</v>
      </c>
      <c r="L75" s="85" t="s">
        <v>212</v>
      </c>
      <c r="M75" s="87">
        <v>1</v>
      </c>
      <c r="N75" s="85" t="s">
        <v>186</v>
      </c>
      <c r="O75" s="85" t="s">
        <v>186</v>
      </c>
      <c r="P75" s="119">
        <f t="shared" si="1"/>
        <v>1</v>
      </c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</row>
    <row r="76" spans="1:40" x14ac:dyDescent="0.3">
      <c r="A76" s="85" t="s">
        <v>129</v>
      </c>
      <c r="B76" s="85" t="s">
        <v>184</v>
      </c>
      <c r="C76" s="86">
        <v>42187</v>
      </c>
      <c r="D76" s="85" t="s">
        <v>185</v>
      </c>
      <c r="E76" s="85" t="s">
        <v>105</v>
      </c>
      <c r="F76" s="85" t="s">
        <v>105</v>
      </c>
      <c r="G76" s="87">
        <v>1</v>
      </c>
      <c r="H76" s="85" t="s">
        <v>186</v>
      </c>
      <c r="I76" s="85" t="s">
        <v>186</v>
      </c>
      <c r="J76" s="86"/>
      <c r="K76" s="86">
        <v>42187</v>
      </c>
      <c r="L76" s="85" t="s">
        <v>128</v>
      </c>
      <c r="M76" s="87">
        <v>20</v>
      </c>
      <c r="N76" s="85" t="s">
        <v>186</v>
      </c>
      <c r="O76" s="85" t="s">
        <v>186</v>
      </c>
      <c r="P76" s="119">
        <f t="shared" si="1"/>
        <v>20</v>
      </c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</row>
    <row r="77" spans="1:40" x14ac:dyDescent="0.3">
      <c r="A77" s="85" t="s">
        <v>129</v>
      </c>
      <c r="B77" s="85" t="s">
        <v>184</v>
      </c>
      <c r="C77" s="86">
        <v>42187</v>
      </c>
      <c r="D77" s="85" t="s">
        <v>185</v>
      </c>
      <c r="E77" s="85" t="s">
        <v>105</v>
      </c>
      <c r="F77" s="85" t="s">
        <v>105</v>
      </c>
      <c r="G77" s="87">
        <v>1</v>
      </c>
      <c r="H77" s="85" t="s">
        <v>186</v>
      </c>
      <c r="I77" s="85" t="s">
        <v>186</v>
      </c>
      <c r="J77" s="86"/>
      <c r="K77" s="86">
        <v>42187</v>
      </c>
      <c r="L77" s="85" t="s">
        <v>192</v>
      </c>
      <c r="M77" s="87">
        <v>1</v>
      </c>
      <c r="N77" s="85" t="s">
        <v>186</v>
      </c>
      <c r="O77" s="85" t="s">
        <v>186</v>
      </c>
      <c r="P77" s="119">
        <f t="shared" si="1"/>
        <v>1</v>
      </c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</row>
    <row r="78" spans="1:40" x14ac:dyDescent="0.3">
      <c r="A78" s="85" t="s">
        <v>131</v>
      </c>
      <c r="B78" s="85" t="s">
        <v>184</v>
      </c>
      <c r="C78" s="86">
        <v>42187</v>
      </c>
      <c r="D78" s="85" t="s">
        <v>185</v>
      </c>
      <c r="E78" s="85" t="s">
        <v>105</v>
      </c>
      <c r="F78" s="85" t="s">
        <v>105</v>
      </c>
      <c r="G78" s="87">
        <v>1</v>
      </c>
      <c r="H78" s="85" t="s">
        <v>186</v>
      </c>
      <c r="I78" s="85" t="s">
        <v>186</v>
      </c>
      <c r="J78" s="86"/>
      <c r="K78" s="86">
        <v>42187</v>
      </c>
      <c r="L78" s="85" t="s">
        <v>130</v>
      </c>
      <c r="M78" s="87">
        <v>20</v>
      </c>
      <c r="N78" s="85" t="s">
        <v>186</v>
      </c>
      <c r="O78" s="85" t="s">
        <v>186</v>
      </c>
      <c r="P78" s="119">
        <f t="shared" si="1"/>
        <v>20</v>
      </c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</row>
    <row r="79" spans="1:40" x14ac:dyDescent="0.3">
      <c r="A79" s="85" t="s">
        <v>131</v>
      </c>
      <c r="B79" s="85" t="s">
        <v>184</v>
      </c>
      <c r="C79" s="86">
        <v>42187</v>
      </c>
      <c r="D79" s="85" t="s">
        <v>185</v>
      </c>
      <c r="E79" s="85" t="s">
        <v>105</v>
      </c>
      <c r="F79" s="85" t="s">
        <v>105</v>
      </c>
      <c r="G79" s="87">
        <v>1</v>
      </c>
      <c r="H79" s="85" t="s">
        <v>186</v>
      </c>
      <c r="I79" s="85" t="s">
        <v>186</v>
      </c>
      <c r="J79" s="86"/>
      <c r="K79" s="86">
        <v>42187</v>
      </c>
      <c r="L79" s="85" t="s">
        <v>192</v>
      </c>
      <c r="M79" s="87">
        <v>1</v>
      </c>
      <c r="N79" s="85" t="s">
        <v>186</v>
      </c>
      <c r="O79" s="85" t="s">
        <v>186</v>
      </c>
      <c r="P79" s="119">
        <f t="shared" si="1"/>
        <v>1</v>
      </c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</row>
    <row r="80" spans="1:40" x14ac:dyDescent="0.3">
      <c r="A80" s="85" t="s">
        <v>111</v>
      </c>
      <c r="B80" s="85" t="s">
        <v>184</v>
      </c>
      <c r="C80" s="86">
        <v>42187</v>
      </c>
      <c r="D80" s="85" t="s">
        <v>185</v>
      </c>
      <c r="E80" s="85" t="s">
        <v>105</v>
      </c>
      <c r="F80" s="85" t="s">
        <v>105</v>
      </c>
      <c r="G80" s="87">
        <v>1</v>
      </c>
      <c r="H80" s="85" t="s">
        <v>186</v>
      </c>
      <c r="I80" s="85" t="s">
        <v>186</v>
      </c>
      <c r="J80" s="86"/>
      <c r="K80" s="86">
        <v>42187</v>
      </c>
      <c r="L80" s="85" t="s">
        <v>110</v>
      </c>
      <c r="M80" s="87">
        <v>20</v>
      </c>
      <c r="N80" s="85" t="s">
        <v>186</v>
      </c>
      <c r="O80" s="85" t="s">
        <v>186</v>
      </c>
      <c r="P80" s="119">
        <f t="shared" si="1"/>
        <v>20</v>
      </c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</row>
    <row r="81" spans="1:40" x14ac:dyDescent="0.3">
      <c r="A81" s="85" t="s">
        <v>111</v>
      </c>
      <c r="B81" s="85" t="s">
        <v>184</v>
      </c>
      <c r="C81" s="86">
        <v>42187</v>
      </c>
      <c r="D81" s="85" t="s">
        <v>185</v>
      </c>
      <c r="E81" s="85" t="s">
        <v>105</v>
      </c>
      <c r="F81" s="85" t="s">
        <v>105</v>
      </c>
      <c r="G81" s="87">
        <v>1</v>
      </c>
      <c r="H81" s="85" t="s">
        <v>186</v>
      </c>
      <c r="I81" s="85" t="s">
        <v>186</v>
      </c>
      <c r="J81" s="86"/>
      <c r="K81" s="86">
        <v>42187</v>
      </c>
      <c r="L81" s="85" t="s">
        <v>192</v>
      </c>
      <c r="M81" s="87">
        <v>1</v>
      </c>
      <c r="N81" s="85" t="s">
        <v>186</v>
      </c>
      <c r="O81" s="85" t="s">
        <v>186</v>
      </c>
      <c r="P81" s="119">
        <f t="shared" si="1"/>
        <v>1</v>
      </c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</row>
    <row r="82" spans="1:40" x14ac:dyDescent="0.3">
      <c r="A82" s="85" t="s">
        <v>145</v>
      </c>
      <c r="B82" s="85" t="s">
        <v>184</v>
      </c>
      <c r="C82" s="86">
        <v>42194</v>
      </c>
      <c r="D82" s="85" t="s">
        <v>185</v>
      </c>
      <c r="E82" s="85" t="s">
        <v>105</v>
      </c>
      <c r="F82" s="85" t="s">
        <v>105</v>
      </c>
      <c r="G82" s="87">
        <v>1</v>
      </c>
      <c r="H82" s="85" t="s">
        <v>186</v>
      </c>
      <c r="I82" s="85" t="s">
        <v>186</v>
      </c>
      <c r="J82" s="86"/>
      <c r="K82" s="86">
        <v>42194</v>
      </c>
      <c r="L82" s="85" t="s">
        <v>143</v>
      </c>
      <c r="M82" s="87">
        <v>20</v>
      </c>
      <c r="N82" s="85" t="s">
        <v>186</v>
      </c>
      <c r="O82" s="85" t="s">
        <v>186</v>
      </c>
      <c r="P82" s="119">
        <f t="shared" si="1"/>
        <v>20</v>
      </c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</row>
    <row r="83" spans="1:40" x14ac:dyDescent="0.3">
      <c r="A83" s="85" t="s">
        <v>145</v>
      </c>
      <c r="B83" s="85" t="s">
        <v>184</v>
      </c>
      <c r="C83" s="86">
        <v>42194</v>
      </c>
      <c r="D83" s="85" t="s">
        <v>185</v>
      </c>
      <c r="E83" s="85" t="s">
        <v>105</v>
      </c>
      <c r="F83" s="85" t="s">
        <v>105</v>
      </c>
      <c r="G83" s="87">
        <v>1</v>
      </c>
      <c r="H83" s="85" t="s">
        <v>186</v>
      </c>
      <c r="I83" s="85" t="s">
        <v>186</v>
      </c>
      <c r="J83" s="86"/>
      <c r="K83" s="86">
        <v>42194</v>
      </c>
      <c r="L83" s="85" t="s">
        <v>192</v>
      </c>
      <c r="M83" s="87">
        <v>1</v>
      </c>
      <c r="N83" s="85" t="s">
        <v>186</v>
      </c>
      <c r="O83" s="85" t="s">
        <v>186</v>
      </c>
      <c r="P83" s="119">
        <f t="shared" si="1"/>
        <v>1</v>
      </c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</row>
    <row r="84" spans="1:40" x14ac:dyDescent="0.3">
      <c r="A84" s="85" t="s">
        <v>112</v>
      </c>
      <c r="B84" s="85" t="s">
        <v>184</v>
      </c>
      <c r="C84" s="86">
        <v>42277</v>
      </c>
      <c r="D84" s="85" t="s">
        <v>214</v>
      </c>
      <c r="E84" s="85" t="s">
        <v>105</v>
      </c>
      <c r="F84" s="85" t="s">
        <v>105</v>
      </c>
      <c r="G84" s="87">
        <v>6</v>
      </c>
      <c r="H84" s="85" t="s">
        <v>186</v>
      </c>
      <c r="I84" s="85" t="s">
        <v>186</v>
      </c>
      <c r="J84" s="86"/>
      <c r="K84" s="86">
        <v>42277</v>
      </c>
      <c r="L84" s="85" t="s">
        <v>110</v>
      </c>
      <c r="M84" s="87">
        <v>24</v>
      </c>
      <c r="N84" s="85" t="s">
        <v>186</v>
      </c>
      <c r="O84" s="85" t="s">
        <v>186</v>
      </c>
      <c r="P84" s="119">
        <f t="shared" si="1"/>
        <v>4</v>
      </c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</row>
    <row r="85" spans="1:40" x14ac:dyDescent="0.3">
      <c r="A85" s="85" t="s">
        <v>112</v>
      </c>
      <c r="B85" s="85" t="s">
        <v>184</v>
      </c>
      <c r="C85" s="86">
        <v>42277</v>
      </c>
      <c r="D85" s="85" t="s">
        <v>214</v>
      </c>
      <c r="E85" s="85" t="s">
        <v>105</v>
      </c>
      <c r="F85" s="85" t="s">
        <v>105</v>
      </c>
      <c r="G85" s="87">
        <v>6</v>
      </c>
      <c r="H85" s="85" t="s">
        <v>186</v>
      </c>
      <c r="I85" s="85" t="s">
        <v>186</v>
      </c>
      <c r="J85" s="86"/>
      <c r="K85" s="86">
        <v>42277</v>
      </c>
      <c r="L85" s="85" t="s">
        <v>196</v>
      </c>
      <c r="M85" s="87">
        <v>6</v>
      </c>
      <c r="N85" s="85" t="s">
        <v>186</v>
      </c>
      <c r="O85" s="85" t="s">
        <v>186</v>
      </c>
      <c r="P85" s="119">
        <f t="shared" si="1"/>
        <v>1</v>
      </c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</row>
    <row r="86" spans="1:40" x14ac:dyDescent="0.3">
      <c r="A86" s="85" t="s">
        <v>112</v>
      </c>
      <c r="B86" s="85" t="s">
        <v>184</v>
      </c>
      <c r="C86" s="86">
        <v>42277</v>
      </c>
      <c r="D86" s="85" t="s">
        <v>214</v>
      </c>
      <c r="E86" s="85" t="s">
        <v>105</v>
      </c>
      <c r="F86" s="85" t="s">
        <v>105</v>
      </c>
      <c r="G86" s="87">
        <v>6</v>
      </c>
      <c r="H86" s="85" t="s">
        <v>186</v>
      </c>
      <c r="I86" s="85" t="s">
        <v>186</v>
      </c>
      <c r="J86" s="86"/>
      <c r="K86" s="86">
        <v>42277</v>
      </c>
      <c r="L86" s="85" t="s">
        <v>197</v>
      </c>
      <c r="M86" s="87">
        <v>1</v>
      </c>
      <c r="N86" s="85" t="s">
        <v>186</v>
      </c>
      <c r="O86" s="85" t="s">
        <v>186</v>
      </c>
      <c r="P86" s="119">
        <f t="shared" si="1"/>
        <v>0.16666666666666666</v>
      </c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</row>
    <row r="87" spans="1:40" x14ac:dyDescent="0.3">
      <c r="A87" s="85" t="s">
        <v>112</v>
      </c>
      <c r="B87" s="85" t="s">
        <v>184</v>
      </c>
      <c r="C87" s="86">
        <v>42277</v>
      </c>
      <c r="D87" s="85" t="s">
        <v>214</v>
      </c>
      <c r="E87" s="85" t="s">
        <v>105</v>
      </c>
      <c r="F87" s="85" t="s">
        <v>105</v>
      </c>
      <c r="G87" s="87">
        <v>6</v>
      </c>
      <c r="H87" s="85" t="s">
        <v>186</v>
      </c>
      <c r="I87" s="85" t="s">
        <v>186</v>
      </c>
      <c r="J87" s="86"/>
      <c r="K87" s="86">
        <v>42277</v>
      </c>
      <c r="L87" s="85" t="s">
        <v>215</v>
      </c>
      <c r="M87" s="87">
        <v>6</v>
      </c>
      <c r="N87" s="85" t="s">
        <v>186</v>
      </c>
      <c r="O87" s="85" t="s">
        <v>186</v>
      </c>
      <c r="P87" s="119">
        <f t="shared" si="1"/>
        <v>1</v>
      </c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</row>
    <row r="88" spans="1:40" x14ac:dyDescent="0.3">
      <c r="A88" s="85" t="s">
        <v>132</v>
      </c>
      <c r="B88" s="85" t="s">
        <v>184</v>
      </c>
      <c r="C88" s="86">
        <v>42277</v>
      </c>
      <c r="D88" s="85" t="s">
        <v>214</v>
      </c>
      <c r="E88" s="85" t="s">
        <v>105</v>
      </c>
      <c r="F88" s="85" t="s">
        <v>105</v>
      </c>
      <c r="G88" s="87">
        <v>6</v>
      </c>
      <c r="H88" s="85" t="s">
        <v>186</v>
      </c>
      <c r="I88" s="85" t="s">
        <v>186</v>
      </c>
      <c r="J88" s="86"/>
      <c r="K88" s="86">
        <v>42277</v>
      </c>
      <c r="L88" s="85" t="s">
        <v>130</v>
      </c>
      <c r="M88" s="87">
        <v>24</v>
      </c>
      <c r="N88" s="85" t="s">
        <v>186</v>
      </c>
      <c r="O88" s="85" t="s">
        <v>186</v>
      </c>
      <c r="P88" s="119">
        <f t="shared" si="1"/>
        <v>4</v>
      </c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</row>
    <row r="89" spans="1:40" x14ac:dyDescent="0.3">
      <c r="A89" s="85" t="s">
        <v>132</v>
      </c>
      <c r="B89" s="85" t="s">
        <v>184</v>
      </c>
      <c r="C89" s="86">
        <v>42277</v>
      </c>
      <c r="D89" s="85" t="s">
        <v>214</v>
      </c>
      <c r="E89" s="85" t="s">
        <v>105</v>
      </c>
      <c r="F89" s="85" t="s">
        <v>105</v>
      </c>
      <c r="G89" s="87">
        <v>6</v>
      </c>
      <c r="H89" s="85" t="s">
        <v>186</v>
      </c>
      <c r="I89" s="85" t="s">
        <v>186</v>
      </c>
      <c r="J89" s="86"/>
      <c r="K89" s="86">
        <v>42277</v>
      </c>
      <c r="L89" s="85" t="s">
        <v>196</v>
      </c>
      <c r="M89" s="87">
        <v>6</v>
      </c>
      <c r="N89" s="85" t="s">
        <v>186</v>
      </c>
      <c r="O89" s="85" t="s">
        <v>186</v>
      </c>
      <c r="P89" s="119">
        <f t="shared" si="1"/>
        <v>1</v>
      </c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</row>
    <row r="90" spans="1:40" x14ac:dyDescent="0.3">
      <c r="A90" s="85" t="s">
        <v>132</v>
      </c>
      <c r="B90" s="85" t="s">
        <v>184</v>
      </c>
      <c r="C90" s="86">
        <v>42277</v>
      </c>
      <c r="D90" s="85" t="s">
        <v>214</v>
      </c>
      <c r="E90" s="85" t="s">
        <v>105</v>
      </c>
      <c r="F90" s="85" t="s">
        <v>105</v>
      </c>
      <c r="G90" s="87">
        <v>6</v>
      </c>
      <c r="H90" s="85" t="s">
        <v>186</v>
      </c>
      <c r="I90" s="85" t="s">
        <v>186</v>
      </c>
      <c r="J90" s="86"/>
      <c r="K90" s="86">
        <v>42277</v>
      </c>
      <c r="L90" s="85" t="s">
        <v>197</v>
      </c>
      <c r="M90" s="87">
        <v>1</v>
      </c>
      <c r="N90" s="85" t="s">
        <v>186</v>
      </c>
      <c r="O90" s="85" t="s">
        <v>186</v>
      </c>
      <c r="P90" s="119">
        <f t="shared" si="1"/>
        <v>0.16666666666666666</v>
      </c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</row>
    <row r="91" spans="1:40" x14ac:dyDescent="0.3">
      <c r="A91" s="85" t="s">
        <v>132</v>
      </c>
      <c r="B91" s="85" t="s">
        <v>184</v>
      </c>
      <c r="C91" s="86">
        <v>42277</v>
      </c>
      <c r="D91" s="85" t="s">
        <v>214</v>
      </c>
      <c r="E91" s="85" t="s">
        <v>105</v>
      </c>
      <c r="F91" s="85" t="s">
        <v>105</v>
      </c>
      <c r="G91" s="87">
        <v>6</v>
      </c>
      <c r="H91" s="85" t="s">
        <v>186</v>
      </c>
      <c r="I91" s="85" t="s">
        <v>186</v>
      </c>
      <c r="J91" s="86"/>
      <c r="K91" s="86">
        <v>42277</v>
      </c>
      <c r="L91" s="85" t="s">
        <v>216</v>
      </c>
      <c r="M91" s="87">
        <v>6</v>
      </c>
      <c r="N91" s="85" t="s">
        <v>186</v>
      </c>
      <c r="O91" s="85" t="s">
        <v>186</v>
      </c>
      <c r="P91" s="119">
        <f t="shared" si="1"/>
        <v>1</v>
      </c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</row>
    <row r="92" spans="1:40" x14ac:dyDescent="0.3">
      <c r="A92" s="85" t="s">
        <v>170</v>
      </c>
      <c r="B92" s="85" t="s">
        <v>184</v>
      </c>
      <c r="C92" s="86">
        <v>42332</v>
      </c>
      <c r="D92" s="85" t="s">
        <v>214</v>
      </c>
      <c r="E92" s="85" t="s">
        <v>105</v>
      </c>
      <c r="F92" s="85" t="s">
        <v>105</v>
      </c>
      <c r="G92" s="87">
        <v>1</v>
      </c>
      <c r="H92" s="85" t="s">
        <v>186</v>
      </c>
      <c r="I92" s="85" t="s">
        <v>186</v>
      </c>
      <c r="J92" s="86"/>
      <c r="K92" s="86">
        <v>42332</v>
      </c>
      <c r="L92" s="85" t="s">
        <v>106</v>
      </c>
      <c r="M92" s="87">
        <v>12</v>
      </c>
      <c r="N92" s="85" t="s">
        <v>186</v>
      </c>
      <c r="O92" s="85" t="s">
        <v>186</v>
      </c>
      <c r="P92" s="119">
        <f t="shared" si="1"/>
        <v>12</v>
      </c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</row>
    <row r="93" spans="1:40" x14ac:dyDescent="0.3">
      <c r="A93" s="85" t="s">
        <v>170</v>
      </c>
      <c r="B93" s="85" t="s">
        <v>184</v>
      </c>
      <c r="C93" s="86">
        <v>42332</v>
      </c>
      <c r="D93" s="85" t="s">
        <v>214</v>
      </c>
      <c r="E93" s="85" t="s">
        <v>105</v>
      </c>
      <c r="F93" s="85" t="s">
        <v>105</v>
      </c>
      <c r="G93" s="87">
        <v>1</v>
      </c>
      <c r="H93" s="85" t="s">
        <v>186</v>
      </c>
      <c r="I93" s="85" t="s">
        <v>186</v>
      </c>
      <c r="J93" s="86"/>
      <c r="K93" s="86">
        <v>42332</v>
      </c>
      <c r="L93" s="85" t="s">
        <v>110</v>
      </c>
      <c r="M93" s="87">
        <v>12</v>
      </c>
      <c r="N93" s="85" t="s">
        <v>186</v>
      </c>
      <c r="O93" s="85" t="s">
        <v>186</v>
      </c>
      <c r="P93" s="119">
        <f t="shared" si="1"/>
        <v>12</v>
      </c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</row>
    <row r="94" spans="1:40" x14ac:dyDescent="0.3">
      <c r="A94" s="85" t="s">
        <v>170</v>
      </c>
      <c r="B94" s="85" t="s">
        <v>184</v>
      </c>
      <c r="C94" s="86">
        <v>42332</v>
      </c>
      <c r="D94" s="85" t="s">
        <v>214</v>
      </c>
      <c r="E94" s="85" t="s">
        <v>105</v>
      </c>
      <c r="F94" s="85" t="s">
        <v>105</v>
      </c>
      <c r="G94" s="87">
        <v>1</v>
      </c>
      <c r="H94" s="85" t="s">
        <v>186</v>
      </c>
      <c r="I94" s="85" t="s">
        <v>186</v>
      </c>
      <c r="J94" s="86"/>
      <c r="K94" s="86">
        <v>42332</v>
      </c>
      <c r="L94" s="85" t="s">
        <v>115</v>
      </c>
      <c r="M94" s="87">
        <v>12</v>
      </c>
      <c r="N94" s="85" t="s">
        <v>186</v>
      </c>
      <c r="O94" s="85" t="s">
        <v>186</v>
      </c>
      <c r="P94" s="119">
        <f t="shared" ref="P94:P122" si="2">M94/G94</f>
        <v>12</v>
      </c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</row>
    <row r="95" spans="1:40" x14ac:dyDescent="0.3">
      <c r="A95" s="85" t="s">
        <v>170</v>
      </c>
      <c r="B95" s="85" t="s">
        <v>184</v>
      </c>
      <c r="C95" s="86">
        <v>42332</v>
      </c>
      <c r="D95" s="85" t="s">
        <v>214</v>
      </c>
      <c r="E95" s="85" t="s">
        <v>105</v>
      </c>
      <c r="F95" s="85" t="s">
        <v>105</v>
      </c>
      <c r="G95" s="87">
        <v>1</v>
      </c>
      <c r="H95" s="85" t="s">
        <v>186</v>
      </c>
      <c r="I95" s="85" t="s">
        <v>186</v>
      </c>
      <c r="J95" s="86"/>
      <c r="K95" s="86">
        <v>42332</v>
      </c>
      <c r="L95" s="85" t="s">
        <v>217</v>
      </c>
      <c r="M95" s="87">
        <v>1</v>
      </c>
      <c r="N95" s="85" t="s">
        <v>186</v>
      </c>
      <c r="O95" s="85" t="s">
        <v>186</v>
      </c>
      <c r="P95" s="119">
        <f t="shared" si="2"/>
        <v>1</v>
      </c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</row>
    <row r="96" spans="1:40" x14ac:dyDescent="0.3">
      <c r="A96" s="85" t="s">
        <v>170</v>
      </c>
      <c r="B96" s="85" t="s">
        <v>184</v>
      </c>
      <c r="C96" s="86">
        <v>42332</v>
      </c>
      <c r="D96" s="85" t="s">
        <v>214</v>
      </c>
      <c r="E96" s="85" t="s">
        <v>105</v>
      </c>
      <c r="F96" s="85" t="s">
        <v>105</v>
      </c>
      <c r="G96" s="87">
        <v>1</v>
      </c>
      <c r="H96" s="85" t="s">
        <v>186</v>
      </c>
      <c r="I96" s="85" t="s">
        <v>186</v>
      </c>
      <c r="J96" s="86"/>
      <c r="K96" s="86">
        <v>42332</v>
      </c>
      <c r="L96" s="85" t="s">
        <v>218</v>
      </c>
      <c r="M96" s="87">
        <v>1</v>
      </c>
      <c r="N96" s="85" t="s">
        <v>186</v>
      </c>
      <c r="O96" s="85" t="s">
        <v>186</v>
      </c>
      <c r="P96" s="119">
        <f t="shared" si="2"/>
        <v>1</v>
      </c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</row>
    <row r="97" spans="1:40" x14ac:dyDescent="0.3">
      <c r="A97" s="85" t="s">
        <v>107</v>
      </c>
      <c r="B97" s="85" t="s">
        <v>184</v>
      </c>
      <c r="C97" s="86">
        <v>42338</v>
      </c>
      <c r="D97" s="85" t="s">
        <v>219</v>
      </c>
      <c r="E97" s="85" t="s">
        <v>105</v>
      </c>
      <c r="F97" s="85" t="s">
        <v>105</v>
      </c>
      <c r="G97" s="87">
        <v>6</v>
      </c>
      <c r="H97" s="85" t="s">
        <v>186</v>
      </c>
      <c r="I97" s="85" t="s">
        <v>186</v>
      </c>
      <c r="J97" s="86"/>
      <c r="K97" s="86">
        <v>42338</v>
      </c>
      <c r="L97" s="85" t="s">
        <v>106</v>
      </c>
      <c r="M97" s="87">
        <v>60</v>
      </c>
      <c r="N97" s="85" t="s">
        <v>186</v>
      </c>
      <c r="O97" s="85" t="s">
        <v>186</v>
      </c>
      <c r="P97" s="119">
        <f t="shared" si="2"/>
        <v>10</v>
      </c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</row>
    <row r="98" spans="1:40" x14ac:dyDescent="0.3">
      <c r="A98" s="85" t="s">
        <v>107</v>
      </c>
      <c r="B98" s="85" t="s">
        <v>184</v>
      </c>
      <c r="C98" s="86">
        <v>42338</v>
      </c>
      <c r="D98" s="85" t="s">
        <v>219</v>
      </c>
      <c r="E98" s="85" t="s">
        <v>105</v>
      </c>
      <c r="F98" s="85" t="s">
        <v>105</v>
      </c>
      <c r="G98" s="87">
        <v>6</v>
      </c>
      <c r="H98" s="85" t="s">
        <v>186</v>
      </c>
      <c r="I98" s="85" t="s">
        <v>186</v>
      </c>
      <c r="J98" s="86"/>
      <c r="K98" s="86">
        <v>42338</v>
      </c>
      <c r="L98" s="85" t="s">
        <v>220</v>
      </c>
      <c r="M98" s="87">
        <v>6</v>
      </c>
      <c r="N98" s="85" t="s">
        <v>186</v>
      </c>
      <c r="O98" s="85" t="s">
        <v>186</v>
      </c>
      <c r="P98" s="119">
        <f t="shared" si="2"/>
        <v>1</v>
      </c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</row>
    <row r="99" spans="1:40" x14ac:dyDescent="0.3">
      <c r="A99" s="85" t="s">
        <v>107</v>
      </c>
      <c r="B99" s="85" t="s">
        <v>184</v>
      </c>
      <c r="C99" s="86">
        <v>42338</v>
      </c>
      <c r="D99" s="85" t="s">
        <v>219</v>
      </c>
      <c r="E99" s="85" t="s">
        <v>105</v>
      </c>
      <c r="F99" s="85" t="s">
        <v>105</v>
      </c>
      <c r="G99" s="87">
        <v>6</v>
      </c>
      <c r="H99" s="85" t="s">
        <v>186</v>
      </c>
      <c r="I99" s="85" t="s">
        <v>186</v>
      </c>
      <c r="J99" s="86"/>
      <c r="K99" s="86">
        <v>42338</v>
      </c>
      <c r="L99" s="85" t="s">
        <v>221</v>
      </c>
      <c r="M99" s="87">
        <v>1</v>
      </c>
      <c r="N99" s="85" t="s">
        <v>186</v>
      </c>
      <c r="O99" s="85" t="s">
        <v>186</v>
      </c>
      <c r="P99" s="119">
        <f t="shared" si="2"/>
        <v>0.16666666666666666</v>
      </c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</row>
    <row r="100" spans="1:40" x14ac:dyDescent="0.3">
      <c r="A100" s="85" t="s">
        <v>165</v>
      </c>
      <c r="B100" s="85" t="s">
        <v>184</v>
      </c>
      <c r="C100" s="86">
        <v>42338</v>
      </c>
      <c r="D100" s="85" t="s">
        <v>219</v>
      </c>
      <c r="E100" s="85" t="s">
        <v>105</v>
      </c>
      <c r="F100" s="85" t="s">
        <v>105</v>
      </c>
      <c r="G100" s="87">
        <v>6</v>
      </c>
      <c r="H100" s="85" t="s">
        <v>186</v>
      </c>
      <c r="I100" s="85" t="s">
        <v>186</v>
      </c>
      <c r="J100" s="86"/>
      <c r="K100" s="86">
        <v>42338</v>
      </c>
      <c r="L100" s="85" t="s">
        <v>163</v>
      </c>
      <c r="M100" s="87">
        <v>36</v>
      </c>
      <c r="N100" s="85" t="s">
        <v>186</v>
      </c>
      <c r="O100" s="85" t="s">
        <v>186</v>
      </c>
      <c r="P100" s="119">
        <f t="shared" si="2"/>
        <v>6</v>
      </c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</row>
    <row r="101" spans="1:40" x14ac:dyDescent="0.3">
      <c r="A101" s="85" t="s">
        <v>165</v>
      </c>
      <c r="B101" s="85" t="s">
        <v>184</v>
      </c>
      <c r="C101" s="86">
        <v>42338</v>
      </c>
      <c r="D101" s="85" t="s">
        <v>219</v>
      </c>
      <c r="E101" s="85" t="s">
        <v>105</v>
      </c>
      <c r="F101" s="85" t="s">
        <v>105</v>
      </c>
      <c r="G101" s="87">
        <v>6</v>
      </c>
      <c r="H101" s="85" t="s">
        <v>186</v>
      </c>
      <c r="I101" s="85" t="s">
        <v>186</v>
      </c>
      <c r="J101" s="86"/>
      <c r="K101" s="86">
        <v>42338</v>
      </c>
      <c r="L101" s="85" t="s">
        <v>222</v>
      </c>
      <c r="M101" s="87">
        <v>6</v>
      </c>
      <c r="N101" s="85" t="s">
        <v>186</v>
      </c>
      <c r="O101" s="85" t="s">
        <v>186</v>
      </c>
      <c r="P101" s="119">
        <f t="shared" si="2"/>
        <v>1</v>
      </c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</row>
    <row r="102" spans="1:40" x14ac:dyDescent="0.3">
      <c r="A102" s="85" t="s">
        <v>165</v>
      </c>
      <c r="B102" s="85" t="s">
        <v>184</v>
      </c>
      <c r="C102" s="86">
        <v>42338</v>
      </c>
      <c r="D102" s="85" t="s">
        <v>219</v>
      </c>
      <c r="E102" s="85" t="s">
        <v>105</v>
      </c>
      <c r="F102" s="85" t="s">
        <v>105</v>
      </c>
      <c r="G102" s="87">
        <v>6</v>
      </c>
      <c r="H102" s="85" t="s">
        <v>186</v>
      </c>
      <c r="I102" s="85" t="s">
        <v>186</v>
      </c>
      <c r="J102" s="86"/>
      <c r="K102" s="86">
        <v>42338</v>
      </c>
      <c r="L102" s="85" t="s">
        <v>223</v>
      </c>
      <c r="M102" s="87">
        <v>1</v>
      </c>
      <c r="N102" s="85" t="s">
        <v>186</v>
      </c>
      <c r="O102" s="85" t="s">
        <v>186</v>
      </c>
      <c r="P102" s="119">
        <f t="shared" si="2"/>
        <v>0.16666666666666666</v>
      </c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</row>
    <row r="103" spans="1:40" x14ac:dyDescent="0.3">
      <c r="A103" s="85" t="s">
        <v>137</v>
      </c>
      <c r="B103" s="85" t="s">
        <v>184</v>
      </c>
      <c r="C103" s="86">
        <v>42373</v>
      </c>
      <c r="D103" s="85" t="s">
        <v>219</v>
      </c>
      <c r="E103" s="85" t="s">
        <v>105</v>
      </c>
      <c r="F103" s="85" t="s">
        <v>105</v>
      </c>
      <c r="G103" s="87">
        <v>1</v>
      </c>
      <c r="H103" s="85" t="s">
        <v>186</v>
      </c>
      <c r="I103" s="85" t="s">
        <v>186</v>
      </c>
      <c r="J103" s="86"/>
      <c r="K103" s="86">
        <v>42373</v>
      </c>
      <c r="L103" s="85" t="s">
        <v>135</v>
      </c>
      <c r="M103" s="87">
        <v>12</v>
      </c>
      <c r="N103" s="85" t="s">
        <v>186</v>
      </c>
      <c r="O103" s="85" t="s">
        <v>186</v>
      </c>
      <c r="P103" s="119">
        <f t="shared" si="2"/>
        <v>12</v>
      </c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</row>
    <row r="104" spans="1:40" x14ac:dyDescent="0.3">
      <c r="A104" s="85" t="s">
        <v>134</v>
      </c>
      <c r="B104" s="85" t="s">
        <v>184</v>
      </c>
      <c r="C104" s="86">
        <v>42502</v>
      </c>
      <c r="D104" s="85" t="s">
        <v>219</v>
      </c>
      <c r="E104" s="85" t="s">
        <v>105</v>
      </c>
      <c r="F104" s="85" t="s">
        <v>105</v>
      </c>
      <c r="G104" s="87">
        <v>1</v>
      </c>
      <c r="H104" s="85" t="s">
        <v>186</v>
      </c>
      <c r="I104" s="85" t="s">
        <v>186</v>
      </c>
      <c r="J104" s="86"/>
      <c r="K104" s="86">
        <v>42502</v>
      </c>
      <c r="L104" s="85" t="s">
        <v>133</v>
      </c>
      <c r="M104" s="87">
        <v>6</v>
      </c>
      <c r="N104" s="85" t="s">
        <v>186</v>
      </c>
      <c r="O104" s="85" t="s">
        <v>186</v>
      </c>
      <c r="P104" s="119">
        <f t="shared" si="2"/>
        <v>6</v>
      </c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</row>
    <row r="105" spans="1:40" x14ac:dyDescent="0.3">
      <c r="A105" s="85" t="s">
        <v>134</v>
      </c>
      <c r="B105" s="85" t="s">
        <v>184</v>
      </c>
      <c r="C105" s="86">
        <v>42502</v>
      </c>
      <c r="D105" s="85" t="s">
        <v>219</v>
      </c>
      <c r="E105" s="85" t="s">
        <v>105</v>
      </c>
      <c r="F105" s="85" t="s">
        <v>105</v>
      </c>
      <c r="G105" s="87">
        <v>1</v>
      </c>
      <c r="H105" s="85" t="s">
        <v>186</v>
      </c>
      <c r="I105" s="85" t="s">
        <v>186</v>
      </c>
      <c r="J105" s="86"/>
      <c r="K105" s="86">
        <v>42502</v>
      </c>
      <c r="L105" s="85" t="s">
        <v>212</v>
      </c>
      <c r="M105" s="87">
        <v>1</v>
      </c>
      <c r="N105" s="85" t="s">
        <v>186</v>
      </c>
      <c r="O105" s="85" t="s">
        <v>186</v>
      </c>
      <c r="P105" s="119">
        <f t="shared" si="2"/>
        <v>1</v>
      </c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</row>
    <row r="106" spans="1:40" x14ac:dyDescent="0.3">
      <c r="A106" s="85" t="s">
        <v>172</v>
      </c>
      <c r="B106" s="85" t="s">
        <v>184</v>
      </c>
      <c r="C106" s="86">
        <v>42591</v>
      </c>
      <c r="D106" s="85" t="s">
        <v>219</v>
      </c>
      <c r="E106" s="85" t="s">
        <v>105</v>
      </c>
      <c r="F106" s="85" t="s">
        <v>105</v>
      </c>
      <c r="G106" s="87">
        <v>1</v>
      </c>
      <c r="H106" s="85" t="s">
        <v>186</v>
      </c>
      <c r="I106" s="85" t="s">
        <v>186</v>
      </c>
      <c r="J106" s="86"/>
      <c r="K106" s="86">
        <v>42591</v>
      </c>
      <c r="L106" s="85" t="s">
        <v>106</v>
      </c>
      <c r="M106" s="87">
        <v>10</v>
      </c>
      <c r="N106" s="85" t="s">
        <v>186</v>
      </c>
      <c r="O106" s="85" t="s">
        <v>186</v>
      </c>
      <c r="P106" s="119">
        <f t="shared" si="2"/>
        <v>10</v>
      </c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</row>
    <row r="107" spans="1:40" x14ac:dyDescent="0.3">
      <c r="A107" s="85" t="s">
        <v>172</v>
      </c>
      <c r="B107" s="85" t="s">
        <v>184</v>
      </c>
      <c r="C107" s="86">
        <v>42591</v>
      </c>
      <c r="D107" s="85" t="s">
        <v>219</v>
      </c>
      <c r="E107" s="85" t="s">
        <v>105</v>
      </c>
      <c r="F107" s="85" t="s">
        <v>105</v>
      </c>
      <c r="G107" s="87">
        <v>1</v>
      </c>
      <c r="H107" s="85" t="s">
        <v>186</v>
      </c>
      <c r="I107" s="85" t="s">
        <v>186</v>
      </c>
      <c r="J107" s="86"/>
      <c r="K107" s="86">
        <v>42591</v>
      </c>
      <c r="L107" s="85" t="s">
        <v>110</v>
      </c>
      <c r="M107" s="87">
        <v>10</v>
      </c>
      <c r="N107" s="85" t="s">
        <v>186</v>
      </c>
      <c r="O107" s="85" t="s">
        <v>186</v>
      </c>
      <c r="P107" s="119">
        <f t="shared" si="2"/>
        <v>10</v>
      </c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</row>
    <row r="108" spans="1:40" x14ac:dyDescent="0.3">
      <c r="A108" s="85" t="s">
        <v>172</v>
      </c>
      <c r="B108" s="85" t="s">
        <v>184</v>
      </c>
      <c r="C108" s="86">
        <v>42591</v>
      </c>
      <c r="D108" s="85" t="s">
        <v>219</v>
      </c>
      <c r="E108" s="85" t="s">
        <v>105</v>
      </c>
      <c r="F108" s="85" t="s">
        <v>105</v>
      </c>
      <c r="G108" s="87">
        <v>1</v>
      </c>
      <c r="H108" s="85" t="s">
        <v>186</v>
      </c>
      <c r="I108" s="85" t="s">
        <v>186</v>
      </c>
      <c r="J108" s="86"/>
      <c r="K108" s="86">
        <v>42591</v>
      </c>
      <c r="L108" s="85" t="s">
        <v>115</v>
      </c>
      <c r="M108" s="87">
        <v>10</v>
      </c>
      <c r="N108" s="85" t="s">
        <v>186</v>
      </c>
      <c r="O108" s="85" t="s">
        <v>186</v>
      </c>
      <c r="P108" s="119">
        <f t="shared" si="2"/>
        <v>10</v>
      </c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</row>
    <row r="109" spans="1:40" x14ac:dyDescent="0.3">
      <c r="A109" s="85" t="s">
        <v>172</v>
      </c>
      <c r="B109" s="85" t="s">
        <v>184</v>
      </c>
      <c r="C109" s="86">
        <v>42591</v>
      </c>
      <c r="D109" s="85" t="s">
        <v>219</v>
      </c>
      <c r="E109" s="85" t="s">
        <v>105</v>
      </c>
      <c r="F109" s="85" t="s">
        <v>105</v>
      </c>
      <c r="G109" s="87">
        <v>1</v>
      </c>
      <c r="H109" s="85" t="s">
        <v>186</v>
      </c>
      <c r="I109" s="85" t="s">
        <v>186</v>
      </c>
      <c r="J109" s="86"/>
      <c r="K109" s="86">
        <v>42591</v>
      </c>
      <c r="L109" s="85" t="s">
        <v>224</v>
      </c>
      <c r="M109" s="87">
        <v>1</v>
      </c>
      <c r="N109" s="85" t="s">
        <v>186</v>
      </c>
      <c r="O109" s="85" t="s">
        <v>186</v>
      </c>
      <c r="P109" s="119">
        <f t="shared" si="2"/>
        <v>1</v>
      </c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</row>
    <row r="110" spans="1:40" x14ac:dyDescent="0.3">
      <c r="A110" s="85" t="s">
        <v>172</v>
      </c>
      <c r="B110" s="85" t="s">
        <v>184</v>
      </c>
      <c r="C110" s="86">
        <v>42591</v>
      </c>
      <c r="D110" s="85" t="s">
        <v>219</v>
      </c>
      <c r="E110" s="85" t="s">
        <v>105</v>
      </c>
      <c r="F110" s="85" t="s">
        <v>105</v>
      </c>
      <c r="G110" s="87">
        <v>1</v>
      </c>
      <c r="H110" s="85" t="s">
        <v>186</v>
      </c>
      <c r="I110" s="85" t="s">
        <v>186</v>
      </c>
      <c r="J110" s="86"/>
      <c r="K110" s="86">
        <v>42591</v>
      </c>
      <c r="L110" s="85" t="s">
        <v>225</v>
      </c>
      <c r="M110" s="87">
        <v>5</v>
      </c>
      <c r="N110" s="85" t="s">
        <v>186</v>
      </c>
      <c r="O110" s="85" t="s">
        <v>186</v>
      </c>
      <c r="P110" s="119">
        <f t="shared" si="2"/>
        <v>5</v>
      </c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</row>
    <row r="111" spans="1:40" x14ac:dyDescent="0.3">
      <c r="A111" s="85" t="s">
        <v>172</v>
      </c>
      <c r="B111" s="85" t="s">
        <v>184</v>
      </c>
      <c r="C111" s="86">
        <v>42591</v>
      </c>
      <c r="D111" s="85" t="s">
        <v>219</v>
      </c>
      <c r="E111" s="85" t="s">
        <v>105</v>
      </c>
      <c r="F111" s="85" t="s">
        <v>105</v>
      </c>
      <c r="G111" s="87">
        <v>1</v>
      </c>
      <c r="H111" s="85" t="s">
        <v>186</v>
      </c>
      <c r="I111" s="85" t="s">
        <v>186</v>
      </c>
      <c r="J111" s="86"/>
      <c r="K111" s="86">
        <v>42591</v>
      </c>
      <c r="L111" s="85" t="s">
        <v>217</v>
      </c>
      <c r="M111" s="87">
        <v>1</v>
      </c>
      <c r="N111" s="85" t="s">
        <v>186</v>
      </c>
      <c r="O111" s="85" t="s">
        <v>186</v>
      </c>
      <c r="P111" s="119">
        <f t="shared" si="2"/>
        <v>1</v>
      </c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</row>
    <row r="112" spans="1:40" x14ac:dyDescent="0.3">
      <c r="A112" s="85" t="s">
        <v>172</v>
      </c>
      <c r="B112" s="85" t="s">
        <v>184</v>
      </c>
      <c r="C112" s="86">
        <v>42591</v>
      </c>
      <c r="D112" s="85" t="s">
        <v>219</v>
      </c>
      <c r="E112" s="85" t="s">
        <v>105</v>
      </c>
      <c r="F112" s="85" t="s">
        <v>105</v>
      </c>
      <c r="G112" s="87">
        <v>1</v>
      </c>
      <c r="H112" s="85" t="s">
        <v>186</v>
      </c>
      <c r="I112" s="85" t="s">
        <v>186</v>
      </c>
      <c r="J112" s="86"/>
      <c r="K112" s="86">
        <v>42591</v>
      </c>
      <c r="L112" s="85" t="s">
        <v>218</v>
      </c>
      <c r="M112" s="87">
        <v>1</v>
      </c>
      <c r="N112" s="85" t="s">
        <v>186</v>
      </c>
      <c r="O112" s="85" t="s">
        <v>186</v>
      </c>
      <c r="P112" s="119">
        <f t="shared" si="2"/>
        <v>1</v>
      </c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</row>
    <row r="113" spans="1:40" x14ac:dyDescent="0.3">
      <c r="A113" s="108" t="s">
        <v>226</v>
      </c>
      <c r="B113" s="85" t="s">
        <v>184</v>
      </c>
      <c r="C113" s="86">
        <v>42914</v>
      </c>
      <c r="D113" s="85" t="s">
        <v>219</v>
      </c>
      <c r="E113" s="85" t="s">
        <v>105</v>
      </c>
      <c r="F113" s="85" t="s">
        <v>105</v>
      </c>
      <c r="G113" s="87">
        <v>4</v>
      </c>
      <c r="H113" s="85" t="s">
        <v>186</v>
      </c>
      <c r="I113" s="85" t="s">
        <v>186</v>
      </c>
      <c r="J113" s="86"/>
      <c r="K113" s="86">
        <v>42914</v>
      </c>
      <c r="L113" s="85" t="s">
        <v>106</v>
      </c>
      <c r="M113" s="87">
        <v>24</v>
      </c>
      <c r="N113" s="85" t="s">
        <v>186</v>
      </c>
      <c r="O113" s="85" t="s">
        <v>186</v>
      </c>
      <c r="P113" s="119">
        <f t="shared" si="2"/>
        <v>6</v>
      </c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</row>
    <row r="114" spans="1:40" x14ac:dyDescent="0.3">
      <c r="A114" s="108" t="s">
        <v>226</v>
      </c>
      <c r="B114" s="85" t="s">
        <v>184</v>
      </c>
      <c r="C114" s="86">
        <v>42914</v>
      </c>
      <c r="D114" s="85" t="s">
        <v>219</v>
      </c>
      <c r="E114" s="85" t="s">
        <v>105</v>
      </c>
      <c r="F114" s="85" t="s">
        <v>105</v>
      </c>
      <c r="G114" s="87">
        <v>4</v>
      </c>
      <c r="H114" s="85" t="s">
        <v>186</v>
      </c>
      <c r="I114" s="85" t="s">
        <v>186</v>
      </c>
      <c r="J114" s="86"/>
      <c r="K114" s="86">
        <v>42914</v>
      </c>
      <c r="L114" s="85" t="s">
        <v>227</v>
      </c>
      <c r="M114" s="87">
        <v>4</v>
      </c>
      <c r="N114" s="85" t="s">
        <v>186</v>
      </c>
      <c r="O114" s="85" t="s">
        <v>186</v>
      </c>
      <c r="P114" s="119">
        <f t="shared" si="2"/>
        <v>1</v>
      </c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</row>
    <row r="115" spans="1:40" x14ac:dyDescent="0.3">
      <c r="A115" s="108" t="s">
        <v>226</v>
      </c>
      <c r="B115" s="85" t="s">
        <v>184</v>
      </c>
      <c r="C115" s="86">
        <v>42914</v>
      </c>
      <c r="D115" s="85" t="s">
        <v>219</v>
      </c>
      <c r="E115" s="85" t="s">
        <v>105</v>
      </c>
      <c r="F115" s="85" t="s">
        <v>105</v>
      </c>
      <c r="G115" s="87">
        <v>4</v>
      </c>
      <c r="H115" s="85" t="s">
        <v>186</v>
      </c>
      <c r="I115" s="85" t="s">
        <v>186</v>
      </c>
      <c r="J115" s="86"/>
      <c r="K115" s="86">
        <v>42914</v>
      </c>
      <c r="L115" s="85" t="s">
        <v>228</v>
      </c>
      <c r="M115" s="87">
        <v>4</v>
      </c>
      <c r="N115" s="85" t="s">
        <v>186</v>
      </c>
      <c r="O115" s="85" t="s">
        <v>186</v>
      </c>
      <c r="P115" s="119">
        <f t="shared" si="2"/>
        <v>1</v>
      </c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</row>
    <row r="116" spans="1:40" x14ac:dyDescent="0.3">
      <c r="A116" s="108" t="s">
        <v>226</v>
      </c>
      <c r="B116" s="85" t="s">
        <v>184</v>
      </c>
      <c r="C116" s="86">
        <v>42914</v>
      </c>
      <c r="D116" s="85" t="s">
        <v>219</v>
      </c>
      <c r="E116" s="85" t="s">
        <v>105</v>
      </c>
      <c r="F116" s="85" t="s">
        <v>105</v>
      </c>
      <c r="G116" s="87">
        <v>4</v>
      </c>
      <c r="H116" s="85" t="s">
        <v>186</v>
      </c>
      <c r="I116" s="85" t="s">
        <v>186</v>
      </c>
      <c r="J116" s="86"/>
      <c r="K116" s="86">
        <v>42914</v>
      </c>
      <c r="L116" s="85" t="s">
        <v>229</v>
      </c>
      <c r="M116" s="87">
        <v>1</v>
      </c>
      <c r="N116" s="85" t="s">
        <v>186</v>
      </c>
      <c r="O116" s="85" t="s">
        <v>186</v>
      </c>
      <c r="P116" s="119">
        <f t="shared" si="2"/>
        <v>0.25</v>
      </c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</row>
    <row r="117" spans="1:40" x14ac:dyDescent="0.3">
      <c r="A117" s="85" t="s">
        <v>171</v>
      </c>
      <c r="B117" s="85" t="s">
        <v>184</v>
      </c>
      <c r="C117" s="86">
        <v>42920</v>
      </c>
      <c r="D117" s="85" t="s">
        <v>219</v>
      </c>
      <c r="E117" s="85" t="s">
        <v>105</v>
      </c>
      <c r="F117" s="85" t="s">
        <v>105</v>
      </c>
      <c r="G117" s="87">
        <v>1</v>
      </c>
      <c r="H117" s="85" t="s">
        <v>186</v>
      </c>
      <c r="I117" s="85" t="s">
        <v>186</v>
      </c>
      <c r="J117" s="86"/>
      <c r="K117" s="86">
        <v>42920</v>
      </c>
      <c r="L117" s="85" t="s">
        <v>122</v>
      </c>
      <c r="M117" s="87">
        <v>1</v>
      </c>
      <c r="N117" s="85" t="s">
        <v>186</v>
      </c>
      <c r="O117" s="85" t="s">
        <v>186</v>
      </c>
      <c r="P117" s="119">
        <f t="shared" si="2"/>
        <v>1</v>
      </c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</row>
    <row r="118" spans="1:40" x14ac:dyDescent="0.3">
      <c r="A118" s="85" t="s">
        <v>171</v>
      </c>
      <c r="B118" s="85" t="s">
        <v>184</v>
      </c>
      <c r="C118" s="86">
        <v>42920</v>
      </c>
      <c r="D118" s="85" t="s">
        <v>219</v>
      </c>
      <c r="E118" s="85" t="s">
        <v>105</v>
      </c>
      <c r="F118" s="85" t="s">
        <v>105</v>
      </c>
      <c r="G118" s="87">
        <v>1</v>
      </c>
      <c r="H118" s="85" t="s">
        <v>186</v>
      </c>
      <c r="I118" s="85" t="s">
        <v>186</v>
      </c>
      <c r="J118" s="86"/>
      <c r="K118" s="86">
        <v>42920</v>
      </c>
      <c r="L118" s="85" t="s">
        <v>124</v>
      </c>
      <c r="M118" s="87">
        <v>2</v>
      </c>
      <c r="N118" s="85" t="s">
        <v>186</v>
      </c>
      <c r="O118" s="85" t="s">
        <v>186</v>
      </c>
      <c r="P118" s="119">
        <f t="shared" si="2"/>
        <v>2</v>
      </c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</row>
    <row r="119" spans="1:40" x14ac:dyDescent="0.3">
      <c r="A119" s="85" t="s">
        <v>171</v>
      </c>
      <c r="B119" s="85" t="s">
        <v>184</v>
      </c>
      <c r="C119" s="86">
        <v>42920</v>
      </c>
      <c r="D119" s="85" t="s">
        <v>219</v>
      </c>
      <c r="E119" s="85" t="s">
        <v>105</v>
      </c>
      <c r="F119" s="85" t="s">
        <v>105</v>
      </c>
      <c r="G119" s="87">
        <v>1</v>
      </c>
      <c r="H119" s="85" t="s">
        <v>186</v>
      </c>
      <c r="I119" s="85" t="s">
        <v>186</v>
      </c>
      <c r="J119" s="86"/>
      <c r="K119" s="86">
        <v>42920</v>
      </c>
      <c r="L119" s="85" t="s">
        <v>168</v>
      </c>
      <c r="M119" s="87">
        <v>1</v>
      </c>
      <c r="N119" s="85" t="s">
        <v>186</v>
      </c>
      <c r="O119" s="85" t="s">
        <v>186</v>
      </c>
      <c r="P119" s="119">
        <f t="shared" si="2"/>
        <v>1</v>
      </c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</row>
    <row r="120" spans="1:40" x14ac:dyDescent="0.3">
      <c r="A120" s="85" t="s">
        <v>171</v>
      </c>
      <c r="B120" s="85" t="s">
        <v>184</v>
      </c>
      <c r="C120" s="86">
        <v>42920</v>
      </c>
      <c r="D120" s="85" t="s">
        <v>219</v>
      </c>
      <c r="E120" s="85" t="s">
        <v>105</v>
      </c>
      <c r="F120" s="85" t="s">
        <v>105</v>
      </c>
      <c r="G120" s="87">
        <v>1</v>
      </c>
      <c r="H120" s="85" t="s">
        <v>186</v>
      </c>
      <c r="I120" s="85" t="s">
        <v>186</v>
      </c>
      <c r="J120" s="86"/>
      <c r="K120" s="86">
        <v>42920</v>
      </c>
      <c r="L120" s="85" t="s">
        <v>218</v>
      </c>
      <c r="M120" s="87">
        <v>1</v>
      </c>
      <c r="N120" s="85" t="s">
        <v>186</v>
      </c>
      <c r="O120" s="85" t="s">
        <v>186</v>
      </c>
      <c r="P120" s="119">
        <f t="shared" si="2"/>
        <v>1</v>
      </c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</row>
    <row r="121" spans="1:40" x14ac:dyDescent="0.3">
      <c r="A121" s="85" t="s">
        <v>171</v>
      </c>
      <c r="B121" s="85" t="s">
        <v>184</v>
      </c>
      <c r="C121" s="86">
        <v>42920</v>
      </c>
      <c r="D121" s="85" t="s">
        <v>219</v>
      </c>
      <c r="E121" s="85" t="s">
        <v>105</v>
      </c>
      <c r="F121" s="85" t="s">
        <v>105</v>
      </c>
      <c r="G121" s="87">
        <v>1</v>
      </c>
      <c r="H121" s="85" t="s">
        <v>186</v>
      </c>
      <c r="I121" s="85" t="s">
        <v>186</v>
      </c>
      <c r="J121" s="86"/>
      <c r="K121" s="86">
        <v>42920</v>
      </c>
      <c r="L121" s="85" t="s">
        <v>217</v>
      </c>
      <c r="M121" s="87">
        <v>1</v>
      </c>
      <c r="N121" s="85" t="s">
        <v>186</v>
      </c>
      <c r="O121" s="85" t="s">
        <v>186</v>
      </c>
      <c r="P121" s="119">
        <f t="shared" si="2"/>
        <v>1</v>
      </c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</row>
    <row r="122" spans="1:40" x14ac:dyDescent="0.3">
      <c r="A122" s="85" t="s">
        <v>171</v>
      </c>
      <c r="B122" s="85" t="s">
        <v>184</v>
      </c>
      <c r="C122" s="86">
        <v>42920</v>
      </c>
      <c r="D122" s="85" t="s">
        <v>219</v>
      </c>
      <c r="E122" s="85" t="s">
        <v>105</v>
      </c>
      <c r="F122" s="85" t="s">
        <v>105</v>
      </c>
      <c r="G122" s="87">
        <v>1</v>
      </c>
      <c r="H122" s="85" t="s">
        <v>186</v>
      </c>
      <c r="I122" s="85" t="s">
        <v>186</v>
      </c>
      <c r="J122" s="86"/>
      <c r="K122" s="86">
        <v>42920</v>
      </c>
      <c r="L122" s="85" t="s">
        <v>224</v>
      </c>
      <c r="M122" s="87">
        <v>1</v>
      </c>
      <c r="N122" s="85" t="s">
        <v>186</v>
      </c>
      <c r="O122" s="85" t="s">
        <v>186</v>
      </c>
      <c r="P122" s="119">
        <f t="shared" si="2"/>
        <v>1</v>
      </c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</row>
    <row r="123" spans="1:40" x14ac:dyDescent="0.3">
      <c r="A123" s="85" t="s">
        <v>171</v>
      </c>
      <c r="B123" s="85" t="s">
        <v>184</v>
      </c>
      <c r="C123" s="86">
        <v>42920</v>
      </c>
      <c r="D123" s="85" t="s">
        <v>219</v>
      </c>
      <c r="E123" s="85" t="s">
        <v>105</v>
      </c>
      <c r="F123" s="85" t="s">
        <v>105</v>
      </c>
      <c r="G123" s="87">
        <v>1</v>
      </c>
      <c r="H123" s="85" t="s">
        <v>186</v>
      </c>
      <c r="I123" s="85" t="s">
        <v>186</v>
      </c>
      <c r="J123" s="86"/>
      <c r="K123" s="86">
        <v>42920</v>
      </c>
      <c r="L123" s="85" t="s">
        <v>230</v>
      </c>
      <c r="M123" s="87">
        <v>1</v>
      </c>
      <c r="N123" s="85" t="s">
        <v>186</v>
      </c>
      <c r="O123" s="85" t="s">
        <v>186</v>
      </c>
      <c r="P123" s="119">
        <f>M123/G123</f>
        <v>1</v>
      </c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</row>
    <row r="124" spans="1:40" x14ac:dyDescent="0.3">
      <c r="A124" s="105" t="s">
        <v>105</v>
      </c>
      <c r="B124" s="105" t="s">
        <v>105</v>
      </c>
      <c r="C124" s="106"/>
      <c r="D124" s="105" t="s">
        <v>105</v>
      </c>
      <c r="E124" s="105" t="s">
        <v>105</v>
      </c>
      <c r="F124" s="105" t="s">
        <v>105</v>
      </c>
      <c r="G124" s="107">
        <v>676</v>
      </c>
      <c r="H124" s="105" t="s">
        <v>186</v>
      </c>
      <c r="I124" s="105" t="s">
        <v>105</v>
      </c>
      <c r="J124" s="106"/>
      <c r="K124" s="106"/>
      <c r="L124" s="105" t="s">
        <v>105</v>
      </c>
      <c r="M124" s="107">
        <v>1791</v>
      </c>
      <c r="N124" s="105" t="s">
        <v>186</v>
      </c>
      <c r="O124" s="105" t="s">
        <v>105</v>
      </c>
      <c r="P124" s="3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100"/>
      <c r="AD124" s="100"/>
      <c r="AE124" s="100"/>
      <c r="AF124" s="100"/>
      <c r="AG124" s="100"/>
      <c r="AH124" s="100"/>
      <c r="AI124" s="100"/>
      <c r="AJ124" s="100"/>
      <c r="AK124" s="100"/>
      <c r="AL124" s="100"/>
      <c r="AM124" s="100"/>
      <c r="AN124" s="100"/>
    </row>
  </sheetData>
  <autoFilter ref="A1:P124"/>
  <phoneticPr fontId="3" type="noConversion"/>
  <conditionalFormatting sqref="Q1:AN1">
    <cfRule type="cellIs" dxfId="6" priority="6563" operator="equal">
      <formula>$B14</formula>
    </cfRule>
    <cfRule type="cellIs" dxfId="5" priority="6564" operator="equal">
      <formula>$B$2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AM104"/>
  <sheetViews>
    <sheetView zoomScale="70" zoomScaleNormal="70" workbookViewId="0">
      <selection activeCell="A22" sqref="A22"/>
    </sheetView>
  </sheetViews>
  <sheetFormatPr defaultRowHeight="13.5" x14ac:dyDescent="0.3"/>
  <cols>
    <col min="1" max="1" width="12.3984375" customWidth="1"/>
    <col min="6" max="6" width="7" bestFit="1" customWidth="1"/>
    <col min="8" max="8" width="12.59765625" customWidth="1"/>
    <col min="13" max="13" width="10.59765625" bestFit="1" customWidth="1"/>
    <col min="15" max="15" width="13.1328125" customWidth="1"/>
    <col min="16" max="17" width="11.86328125" bestFit="1" customWidth="1"/>
    <col min="22" max="22" width="10.59765625" bestFit="1" customWidth="1"/>
    <col min="25" max="25" width="13.1328125" bestFit="1" customWidth="1"/>
    <col min="26" max="26" width="15.3984375" customWidth="1"/>
  </cols>
  <sheetData>
    <row r="1" spans="1:39" ht="14.65" thickBot="1" x14ac:dyDescent="0.35">
      <c r="A1" s="109"/>
      <c r="G1" s="31"/>
      <c r="H1" s="134" t="s">
        <v>22</v>
      </c>
      <c r="I1" s="135"/>
      <c r="J1" s="135"/>
      <c r="K1" s="135"/>
      <c r="L1" s="135"/>
      <c r="M1" s="136"/>
      <c r="N1" s="28"/>
      <c r="O1" s="134" t="s">
        <v>23</v>
      </c>
      <c r="P1" s="135"/>
      <c r="Q1" s="135"/>
      <c r="R1" s="135"/>
      <c r="S1" s="135"/>
      <c r="T1" s="135"/>
      <c r="U1" s="135"/>
      <c r="V1" s="135"/>
      <c r="W1" s="136"/>
      <c r="X1" s="66"/>
      <c r="Y1" s="29"/>
      <c r="Z1" s="80"/>
      <c r="AA1" s="30"/>
      <c r="AB1" s="29"/>
    </row>
    <row r="2" spans="1:39" ht="13.9" thickBot="1" x14ac:dyDescent="0.35">
      <c r="A2" s="32" t="s">
        <v>0</v>
      </c>
      <c r="B2" s="33" t="s">
        <v>24</v>
      </c>
      <c r="C2" s="34" t="s">
        <v>25</v>
      </c>
      <c r="D2" s="35" t="s">
        <v>26</v>
      </c>
      <c r="E2" s="36" t="s">
        <v>27</v>
      </c>
      <c r="F2" s="36" t="s">
        <v>28</v>
      </c>
      <c r="G2" s="75"/>
      <c r="H2" s="77" t="s">
        <v>0</v>
      </c>
      <c r="I2" s="78" t="s">
        <v>30</v>
      </c>
      <c r="J2" s="37" t="s">
        <v>31</v>
      </c>
      <c r="K2" s="38" t="s">
        <v>32</v>
      </c>
      <c r="L2" s="39" t="s">
        <v>33</v>
      </c>
      <c r="M2" s="40" t="s">
        <v>34</v>
      </c>
      <c r="N2" s="28"/>
      <c r="O2" s="41" t="s">
        <v>35</v>
      </c>
      <c r="P2" s="42" t="s">
        <v>36</v>
      </c>
      <c r="Q2" s="42" t="s">
        <v>37</v>
      </c>
      <c r="R2" s="43" t="s">
        <v>30</v>
      </c>
      <c r="S2" s="44" t="s">
        <v>31</v>
      </c>
      <c r="T2" s="45" t="s">
        <v>32</v>
      </c>
      <c r="U2" s="43" t="s">
        <v>33</v>
      </c>
      <c r="V2" s="46" t="s">
        <v>34</v>
      </c>
      <c r="W2" s="111" t="s">
        <v>38</v>
      </c>
      <c r="X2" s="28"/>
      <c r="Y2" s="47" t="s">
        <v>39</v>
      </c>
      <c r="Z2" s="48" t="s">
        <v>95</v>
      </c>
      <c r="AA2" s="48" t="s">
        <v>29</v>
      </c>
      <c r="AB2" s="47" t="s">
        <v>40</v>
      </c>
    </row>
    <row r="3" spans="1:39" ht="30.75" customHeight="1" x14ac:dyDescent="0.3">
      <c r="A3" s="114">
        <f>IF(AND(NOT(MASTERDATA!I3="yes"),NOT(MASTERDATA!K3="yes")),MASTERDATA!L3,"")</f>
        <v>0</v>
      </c>
      <c r="B3" s="49" t="e">
        <f>INDEX(MASTERDATA!$V$3:$V$302,MATCH(ORDER!A3,MASTERDATA!$L$3:$L$302,0))</f>
        <v>#N/A</v>
      </c>
      <c r="C3" s="50" t="e">
        <f>INDEX(MASTERDATA!$W$3:$W$302,MATCH(ORDER!A3,MASTERDATA!$L$3:$L$302,0))</f>
        <v>#N/A</v>
      </c>
      <c r="D3" s="51">
        <f ca="1">DATE(YEAR(BRAND!$B$1),MONTH(BRAND!$B$1)+MASTERDATA!Q3,DAY(1))</f>
        <v>42979</v>
      </c>
      <c r="E3" s="52" t="e">
        <f>INDEX(MASTERDATA!$AF$3:$AF$302,MATCH(ORDER!A3,MASTERDATA!$L$3:$L$302,0))</f>
        <v>#N/A</v>
      </c>
      <c r="F3" s="52" t="e">
        <f>INDEX(MASTERDATA!$AH$3:$AH$302,MATCH(ORDER!A3,MASTERDATA!$L$3:$L$302,0))</f>
        <v>#N/A</v>
      </c>
      <c r="G3" s="76"/>
      <c r="H3" s="113">
        <f>A3</f>
        <v>0</v>
      </c>
      <c r="I3" s="79" t="str">
        <f ca="1">IFERROR(VLOOKUP(A3&amp;"New PO-Net QTY",BRAND!$F$5:$X$825,MATCH(ORDER!D3,BRAND!$G$5:$X$5,0)+1,0),"")</f>
        <v/>
      </c>
      <c r="J3" s="53">
        <f ca="1">IFERROR(I3/B3,0)</f>
        <v>0</v>
      </c>
      <c r="K3" s="53">
        <f ca="1">IFERROR(I3/B3/C3,0)</f>
        <v>0</v>
      </c>
      <c r="L3" s="54" t="e">
        <f ca="1">J3*INDEX(MASTERDATA!$AA$3:$AA$302,MATCH(ORDER!A3,MASTERDATA!$L$3:$L$302,0))</f>
        <v>#N/A</v>
      </c>
      <c r="M3" s="55">
        <f ca="1">IFERROR(INDEX(MASTERDATA!$AC$3:$AC$302,MATCH(ORDER!A3,MASTERDATA!$L$3:$L$302,0))*I3,0)</f>
        <v>0</v>
      </c>
      <c r="N3" s="56"/>
      <c r="O3" s="115">
        <f>A3</f>
        <v>0</v>
      </c>
      <c r="P3" s="57" t="e">
        <f>INDEX(MASTERDATA!$M$3:$M$302,MATCH(ORDER!A3,MASTERDATA!$L$3:$L$302,0))</f>
        <v>#N/A</v>
      </c>
      <c r="Q3" s="58" t="e">
        <f>INDEX(MASTERDATA!$N$3:$N$302,MATCH(ORDER!A3,MASTERDATA!$L$3:$L$302,0))</f>
        <v>#N/A</v>
      </c>
      <c r="R3" s="57" t="str">
        <f>IF(ISNUMBER(S3),S3*B3,IF(ISNUMBER(T3),T3*C3*B3,""))</f>
        <v/>
      </c>
      <c r="S3" s="59"/>
      <c r="T3" s="59"/>
      <c r="U3" s="57" t="e">
        <f>INDEX(MASTERDATA!$AA$3:$AA$302,MATCH(ORDER!A3,MASTERDATA!$L$3:$L$302,0))*S3</f>
        <v>#N/A</v>
      </c>
      <c r="V3" s="60">
        <f>IFERROR(INDEX(MASTERDATA!$AC$3:$AC$302,MATCH(ORDER!A3,MASTERDATA!$L$3:$L$302,0))*R3,0)</f>
        <v>0</v>
      </c>
      <c r="W3" s="112" t="str">
        <f ca="1">IF(ISNUMBER(I3),VLOOKUP(A3&amp;"DSI End Period",BRAND!$F$5:$X$815,MATCH(D3,BRAND!$G$5:$X$5)+1,0),"")</f>
        <v/>
      </c>
      <c r="X3" s="61"/>
      <c r="Y3" s="62">
        <f>MASTERDATA!R3</f>
        <v>0</v>
      </c>
      <c r="Z3" s="63" t="e">
        <f>INDEX(MASTERDATA!$S$3:$S$302,MATCH(ORDER!A3,MASTERDATA!$L$3:$L$302,0))</f>
        <v>#N/A</v>
      </c>
      <c r="AA3" s="63" t="e">
        <f>INDEX(MASTERDATA!$U$3:$U$302,MATCH(ORDER!A3,MASTERDATA!$L$3:$L$302,0))</f>
        <v>#N/A</v>
      </c>
      <c r="AB3" s="62" t="e">
        <f>INDEX(MASTERDATA!$H$3:$H$302,MATCH(ORDER!A3,MASTERDATA!$L$3:$L$302,0))</f>
        <v>#N/A</v>
      </c>
    </row>
    <row r="4" spans="1:39" ht="15.75" x14ac:dyDescent="0.3">
      <c r="A4" s="114">
        <f>IF(AND(NOT(MASTERDATA!I4="yes"),NOT(MASTERDATA!K4="yes")),MASTERDATA!L4,"")</f>
        <v>0</v>
      </c>
      <c r="B4" s="49" t="e">
        <f>INDEX(MASTERDATA!$V$3:$V$302,MATCH(ORDER!A4,MASTERDATA!$L$3:$L$302,0))</f>
        <v>#N/A</v>
      </c>
      <c r="C4" s="50" t="e">
        <f>INDEX(MASTERDATA!$W$3:$W$302,MATCH(ORDER!A4,MASTERDATA!$L$3:$L$302,0))</f>
        <v>#N/A</v>
      </c>
      <c r="D4" s="51">
        <f ca="1">DATE(YEAR(BRAND!$B$1),MONTH(BRAND!$B$1)+MASTERDATA!Q4,DAY(1))</f>
        <v>42979</v>
      </c>
      <c r="E4" s="52" t="e">
        <f>INDEX(MASTERDATA!$AF$3:$AF$302,MATCH(ORDER!A4,MASTERDATA!$L$3:$L$302,0))</f>
        <v>#N/A</v>
      </c>
      <c r="F4" s="52" t="e">
        <f>INDEX(MASTERDATA!$AH$3:$AH$302,MATCH(ORDER!A4,MASTERDATA!$L$3:$L$302,0))</f>
        <v>#N/A</v>
      </c>
      <c r="G4" s="76"/>
      <c r="H4" s="113">
        <f t="shared" ref="H4:H32" si="0">A4</f>
        <v>0</v>
      </c>
      <c r="I4" s="79" t="str">
        <f ca="1">IFERROR(VLOOKUP(A4&amp;"New PO-Net QTY",BRAND!$F$5:$X$825,MATCH(ORDER!D4,BRAND!$G$5:$X$5,0)+1,0),"")</f>
        <v/>
      </c>
      <c r="J4" s="53">
        <f t="shared" ref="J4:J32" ca="1" si="1">IFERROR(I4/B4,0)</f>
        <v>0</v>
      </c>
      <c r="K4" s="53">
        <f t="shared" ref="K4:K32" ca="1" si="2">IFERROR(I4/B4/C4,0)</f>
        <v>0</v>
      </c>
      <c r="L4" s="54" t="e">
        <f ca="1">J4*INDEX(MASTERDATA!$AA$3:$AA$302,MATCH(ORDER!A4,MASTERDATA!$L$3:$L$302,0))</f>
        <v>#N/A</v>
      </c>
      <c r="M4" s="55">
        <f ca="1">IFERROR(INDEX(MASTERDATA!$AC$3:$AC$302,MATCH(ORDER!A4,MASTERDATA!$L$3:$L$302,0))*I4,0)</f>
        <v>0</v>
      </c>
      <c r="N4" s="56"/>
      <c r="O4" s="115">
        <f t="shared" ref="O4:O32" si="3">A4</f>
        <v>0</v>
      </c>
      <c r="P4" s="57" t="e">
        <f>INDEX(MASTERDATA!$M$3:$M$302,MATCH(ORDER!A4,MASTERDATA!$L$3:$L$302,0))</f>
        <v>#N/A</v>
      </c>
      <c r="Q4" s="58" t="e">
        <f>INDEX(MASTERDATA!$N$3:$N$302,MATCH(ORDER!A4,MASTERDATA!$L$3:$L$302,0))</f>
        <v>#N/A</v>
      </c>
      <c r="R4" s="57" t="str">
        <f t="shared" ref="R4:R32" si="4">IF(ISNUMBER(S4),S4*B4,IF(ISNUMBER(T4),T4*C4*B4,""))</f>
        <v/>
      </c>
      <c r="S4" s="59"/>
      <c r="T4" s="59"/>
      <c r="U4" s="57" t="e">
        <f>INDEX(MASTERDATA!$AA$3:$AA$302,MATCH(ORDER!A4,MASTERDATA!$L$3:$L$302,0))*S4</f>
        <v>#N/A</v>
      </c>
      <c r="V4" s="60">
        <f>IFERROR(INDEX(MASTERDATA!$AC$3:$AC$302,MATCH(ORDER!A4,MASTERDATA!$L$3:$L$302,0))*R4,0)</f>
        <v>0</v>
      </c>
      <c r="W4" s="112" t="str">
        <f ca="1">IF(ISNUMBER(I4),VLOOKUP(A4&amp;"DSI End Period",BRAND!$F$5:$X$815,MATCH(D4,BRAND!$G$5:$X$5)+1,0),"")</f>
        <v/>
      </c>
      <c r="X4" s="61"/>
      <c r="Y4" s="62">
        <f>MASTERDATA!R4</f>
        <v>0</v>
      </c>
      <c r="Z4" s="63" t="e">
        <f>INDEX(MASTERDATA!$S$3:$S$302,MATCH(ORDER!A4,MASTERDATA!$L$3:$L$302,0))</f>
        <v>#N/A</v>
      </c>
      <c r="AA4" s="63" t="e">
        <f>INDEX(MASTERDATA!$U$3:$U$302,MATCH(ORDER!A4,MASTERDATA!$L$3:$L$302,0))</f>
        <v>#N/A</v>
      </c>
      <c r="AB4" s="62" t="e">
        <f>INDEX(MASTERDATA!$H$3:$H$302,MATCH(ORDER!A4,MASTERDATA!$L$3:$L$302,0))</f>
        <v>#N/A</v>
      </c>
    </row>
    <row r="5" spans="1:39" ht="15.75" x14ac:dyDescent="0.3">
      <c r="A5" s="114">
        <f>IF(AND(NOT(MASTERDATA!I5="yes"),NOT(MASTERDATA!K5="yes")),MASTERDATA!L5,"")</f>
        <v>0</v>
      </c>
      <c r="B5" s="49" t="e">
        <f>INDEX(MASTERDATA!$V$3:$V$302,MATCH(ORDER!A5,MASTERDATA!$L$3:$L$302,0))</f>
        <v>#N/A</v>
      </c>
      <c r="C5" s="50" t="e">
        <f>INDEX(MASTERDATA!$W$3:$W$302,MATCH(ORDER!A5,MASTERDATA!$L$3:$L$302,0))</f>
        <v>#N/A</v>
      </c>
      <c r="D5" s="51">
        <f ca="1">DATE(YEAR(BRAND!$B$1),MONTH(BRAND!$B$1)+MASTERDATA!Q5,DAY(1))</f>
        <v>42979</v>
      </c>
      <c r="E5" s="52" t="e">
        <f>INDEX(MASTERDATA!$AF$3:$AF$302,MATCH(ORDER!A5,MASTERDATA!$L$3:$L$302,0))</f>
        <v>#N/A</v>
      </c>
      <c r="F5" s="52" t="e">
        <f>INDEX(MASTERDATA!$AH$3:$AH$302,MATCH(ORDER!A5,MASTERDATA!$L$3:$L$302,0))</f>
        <v>#N/A</v>
      </c>
      <c r="G5" s="76"/>
      <c r="H5" s="113">
        <f t="shared" si="0"/>
        <v>0</v>
      </c>
      <c r="I5" s="79" t="str">
        <f ca="1">IFERROR(VLOOKUP(A5&amp;"New PO-Net QTY",BRAND!$F$5:$X$825,MATCH(ORDER!D5,BRAND!$G$5:$X$5,0)+1,0),"")</f>
        <v/>
      </c>
      <c r="J5" s="53">
        <f t="shared" ca="1" si="1"/>
        <v>0</v>
      </c>
      <c r="K5" s="53">
        <f t="shared" ca="1" si="2"/>
        <v>0</v>
      </c>
      <c r="L5" s="54" t="e">
        <f ca="1">J5*INDEX(MASTERDATA!$AA$3:$AA$302,MATCH(ORDER!A5,MASTERDATA!$L$3:$L$302,0))</f>
        <v>#N/A</v>
      </c>
      <c r="M5" s="55">
        <f ca="1">IFERROR(INDEX(MASTERDATA!$AC$3:$AC$302,MATCH(ORDER!A5,MASTERDATA!$L$3:$L$302,0))*I5,0)</f>
        <v>0</v>
      </c>
      <c r="N5" s="56"/>
      <c r="O5" s="115">
        <f t="shared" si="3"/>
        <v>0</v>
      </c>
      <c r="P5" s="57" t="e">
        <f>INDEX(MASTERDATA!$M$3:$M$302,MATCH(ORDER!A5,MASTERDATA!$L$3:$L$302,0))</f>
        <v>#N/A</v>
      </c>
      <c r="Q5" s="58" t="e">
        <f>INDEX(MASTERDATA!$N$3:$N$302,MATCH(ORDER!A5,MASTERDATA!$L$3:$L$302,0))</f>
        <v>#N/A</v>
      </c>
      <c r="R5" s="57" t="str">
        <f t="shared" si="4"/>
        <v/>
      </c>
      <c r="S5" s="59"/>
      <c r="T5" s="59"/>
      <c r="U5" s="57" t="e">
        <f>INDEX(MASTERDATA!$AA$3:$AA$302,MATCH(ORDER!A5,MASTERDATA!$L$3:$L$302,0))*S5</f>
        <v>#N/A</v>
      </c>
      <c r="V5" s="60">
        <f>IFERROR(INDEX(MASTERDATA!$AC$3:$AC$302,MATCH(ORDER!A5,MASTERDATA!$L$3:$L$302,0))*R5,0)</f>
        <v>0</v>
      </c>
      <c r="W5" s="112" t="str">
        <f ca="1">IF(ISNUMBER(I5),VLOOKUP(A5&amp;"DSI End Period",BRAND!$F$5:$X$815,MATCH(D5,BRAND!$G$5:$X$5)+1,0),"")</f>
        <v/>
      </c>
      <c r="X5" s="61"/>
      <c r="Y5" s="62">
        <f>MASTERDATA!R5</f>
        <v>0</v>
      </c>
      <c r="Z5" s="63" t="e">
        <f>INDEX(MASTERDATA!$S$3:$S$302,MATCH(ORDER!A5,MASTERDATA!$L$3:$L$302,0))</f>
        <v>#N/A</v>
      </c>
      <c r="AA5" s="63" t="e">
        <f>INDEX(MASTERDATA!$U$3:$U$302,MATCH(ORDER!A5,MASTERDATA!$L$3:$L$302,0))</f>
        <v>#N/A</v>
      </c>
      <c r="AB5" s="62" t="e">
        <f>INDEX(MASTERDATA!$H$3:$H$302,MATCH(ORDER!A5,MASTERDATA!$L$3:$L$302,0))</f>
        <v>#N/A</v>
      </c>
    </row>
    <row r="6" spans="1:39" ht="15.75" x14ac:dyDescent="0.3">
      <c r="A6" s="114">
        <f>IF(AND(NOT(MASTERDATA!I6="yes"),NOT(MASTERDATA!K6="yes")),MASTERDATA!L6,"")</f>
        <v>0</v>
      </c>
      <c r="B6" s="49" t="e">
        <f>INDEX(MASTERDATA!$V$3:$V$302,MATCH(ORDER!A6,MASTERDATA!$L$3:$L$302,0))</f>
        <v>#N/A</v>
      </c>
      <c r="C6" s="50" t="e">
        <f>INDEX(MASTERDATA!$W$3:$W$302,MATCH(ORDER!A6,MASTERDATA!$L$3:$L$302,0))</f>
        <v>#N/A</v>
      </c>
      <c r="D6" s="51">
        <f ca="1">DATE(YEAR(BRAND!$B$1),MONTH(BRAND!$B$1)+MASTERDATA!Q6,DAY(1))</f>
        <v>42979</v>
      </c>
      <c r="E6" s="52" t="e">
        <f>INDEX(MASTERDATA!$AF$3:$AF$302,MATCH(ORDER!A6,MASTERDATA!$L$3:$L$302,0))</f>
        <v>#N/A</v>
      </c>
      <c r="F6" s="52" t="e">
        <f>INDEX(MASTERDATA!$AH$3:$AH$302,MATCH(ORDER!A6,MASTERDATA!$L$3:$L$302,0))</f>
        <v>#N/A</v>
      </c>
      <c r="G6" s="76"/>
      <c r="H6" s="113">
        <f t="shared" si="0"/>
        <v>0</v>
      </c>
      <c r="I6" s="79" t="str">
        <f ca="1">IFERROR(VLOOKUP(A6&amp;"New PO-Net QTY",BRAND!$F$5:$X$825,MATCH(ORDER!D6,BRAND!$G$5:$X$5,0)+1,0),"")</f>
        <v/>
      </c>
      <c r="J6" s="53">
        <f t="shared" ca="1" si="1"/>
        <v>0</v>
      </c>
      <c r="K6" s="53">
        <f t="shared" ca="1" si="2"/>
        <v>0</v>
      </c>
      <c r="L6" s="54" t="e">
        <f ca="1">J6*INDEX(MASTERDATA!$AA$3:$AA$302,MATCH(ORDER!A6,MASTERDATA!$L$3:$L$302,0))</f>
        <v>#N/A</v>
      </c>
      <c r="M6" s="55">
        <f ca="1">IFERROR(INDEX(MASTERDATA!$AC$3:$AC$302,MATCH(ORDER!A6,MASTERDATA!$L$3:$L$302,0))*I6,0)</f>
        <v>0</v>
      </c>
      <c r="N6" s="56"/>
      <c r="O6" s="115">
        <f t="shared" si="3"/>
        <v>0</v>
      </c>
      <c r="P6" s="57" t="e">
        <f>INDEX(MASTERDATA!$M$3:$M$302,MATCH(ORDER!A6,MASTERDATA!$L$3:$L$302,0))</f>
        <v>#N/A</v>
      </c>
      <c r="Q6" s="58" t="e">
        <f>INDEX(MASTERDATA!$N$3:$N$302,MATCH(ORDER!A6,MASTERDATA!$L$3:$L$302,0))</f>
        <v>#N/A</v>
      </c>
      <c r="R6" s="57" t="str">
        <f t="shared" si="4"/>
        <v/>
      </c>
      <c r="S6" s="59"/>
      <c r="T6" s="59"/>
      <c r="U6" s="57" t="e">
        <f>INDEX(MASTERDATA!$AA$3:$AA$302,MATCH(ORDER!A6,MASTERDATA!$L$3:$L$302,0))*S6</f>
        <v>#N/A</v>
      </c>
      <c r="V6" s="60">
        <f>IFERROR(INDEX(MASTERDATA!$AC$3:$AC$302,MATCH(ORDER!A6,MASTERDATA!$L$3:$L$302,0))*R6,0)</f>
        <v>0</v>
      </c>
      <c r="W6" s="112" t="str">
        <f ca="1">IF(ISNUMBER(I6),VLOOKUP(A6&amp;"DSI End Period",BRAND!$F$5:$X$815,MATCH(D6,BRAND!$G$5:$X$5)+1,0),"")</f>
        <v/>
      </c>
      <c r="X6" s="61"/>
      <c r="Y6" s="62">
        <f>MASTERDATA!R6</f>
        <v>0</v>
      </c>
      <c r="Z6" s="63" t="e">
        <f>INDEX(MASTERDATA!$S$3:$S$302,MATCH(ORDER!A6,MASTERDATA!$L$3:$L$302,0))</f>
        <v>#N/A</v>
      </c>
      <c r="AA6" s="63" t="e">
        <f>INDEX(MASTERDATA!$U$3:$U$302,MATCH(ORDER!A6,MASTERDATA!$L$3:$L$302,0))</f>
        <v>#N/A</v>
      </c>
      <c r="AB6" s="62" t="e">
        <f>INDEX(MASTERDATA!$H$3:$H$302,MATCH(ORDER!A6,MASTERDATA!$L$3:$L$302,0))</f>
        <v>#N/A</v>
      </c>
    </row>
    <row r="7" spans="1:39" ht="15.75" x14ac:dyDescent="0.3">
      <c r="A7" s="114">
        <f>IF(AND(NOT(MASTERDATA!I7="yes"),NOT(MASTERDATA!K7="yes")),MASTERDATA!L7,"")</f>
        <v>0</v>
      </c>
      <c r="B7" s="49" t="e">
        <f>INDEX(MASTERDATA!$V$3:$V$302,MATCH(ORDER!A7,MASTERDATA!$L$3:$L$302,0))</f>
        <v>#N/A</v>
      </c>
      <c r="C7" s="50" t="e">
        <f>INDEX(MASTERDATA!$W$3:$W$302,MATCH(ORDER!A7,MASTERDATA!$L$3:$L$302,0))</f>
        <v>#N/A</v>
      </c>
      <c r="D7" s="51">
        <f ca="1">DATE(YEAR(BRAND!$B$1),MONTH(BRAND!$B$1)+MASTERDATA!Q7,DAY(1))</f>
        <v>42979</v>
      </c>
      <c r="E7" s="52" t="e">
        <f>INDEX(MASTERDATA!$AF$3:$AF$302,MATCH(ORDER!A7,MASTERDATA!$L$3:$L$302,0))</f>
        <v>#N/A</v>
      </c>
      <c r="F7" s="52" t="e">
        <f>INDEX(MASTERDATA!$AH$3:$AH$302,MATCH(ORDER!A7,MASTERDATA!$L$3:$L$302,0))</f>
        <v>#N/A</v>
      </c>
      <c r="G7" s="76"/>
      <c r="H7" s="113">
        <f t="shared" si="0"/>
        <v>0</v>
      </c>
      <c r="I7" s="79" t="str">
        <f ca="1">IFERROR(VLOOKUP(A7&amp;"New PO-Net QTY",BRAND!$F$5:$X$825,MATCH(ORDER!D7,BRAND!$G$5:$X$5,0)+1,0),"")</f>
        <v/>
      </c>
      <c r="J7" s="53">
        <f t="shared" ca="1" si="1"/>
        <v>0</v>
      </c>
      <c r="K7" s="53">
        <f t="shared" ca="1" si="2"/>
        <v>0</v>
      </c>
      <c r="L7" s="54" t="e">
        <f ca="1">J7*INDEX(MASTERDATA!$AA$3:$AA$302,MATCH(ORDER!A7,MASTERDATA!$L$3:$L$302,0))</f>
        <v>#N/A</v>
      </c>
      <c r="M7" s="55">
        <f ca="1">IFERROR(INDEX(MASTERDATA!$AC$3:$AC$302,MATCH(ORDER!A7,MASTERDATA!$L$3:$L$302,0))*I7,0)</f>
        <v>0</v>
      </c>
      <c r="N7" s="56"/>
      <c r="O7" s="115">
        <f t="shared" si="3"/>
        <v>0</v>
      </c>
      <c r="P7" s="57" t="e">
        <f>INDEX(MASTERDATA!$M$3:$M$302,MATCH(ORDER!A7,MASTERDATA!$L$3:$L$302,0))</f>
        <v>#N/A</v>
      </c>
      <c r="Q7" s="58" t="e">
        <f>INDEX(MASTERDATA!$N$3:$N$302,MATCH(ORDER!A7,MASTERDATA!$L$3:$L$302,0))</f>
        <v>#N/A</v>
      </c>
      <c r="R7" s="57" t="str">
        <f t="shared" si="4"/>
        <v/>
      </c>
      <c r="S7" s="59"/>
      <c r="T7" s="59"/>
      <c r="U7" s="57" t="e">
        <f>INDEX(MASTERDATA!$AA$3:$AA$302,MATCH(ORDER!A7,MASTERDATA!$L$3:$L$302,0))*S7</f>
        <v>#N/A</v>
      </c>
      <c r="V7" s="60">
        <f>IFERROR(INDEX(MASTERDATA!$AC$3:$AC$302,MATCH(ORDER!A7,MASTERDATA!$L$3:$L$302,0))*R7,0)</f>
        <v>0</v>
      </c>
      <c r="W7" s="112" t="str">
        <f ca="1">IF(ISNUMBER(I7),VLOOKUP(A7&amp;"DSI End Period",BRAND!$F$5:$X$815,MATCH(D7,BRAND!$G$5:$X$5)+1,0),"")</f>
        <v/>
      </c>
      <c r="X7" s="61"/>
      <c r="Y7" s="62">
        <f>MASTERDATA!R7</f>
        <v>0</v>
      </c>
      <c r="Z7" s="63" t="e">
        <f>INDEX(MASTERDATA!$S$3:$S$302,MATCH(ORDER!A7,MASTERDATA!$L$3:$L$302,0))</f>
        <v>#N/A</v>
      </c>
      <c r="AA7" s="63" t="e">
        <f>INDEX(MASTERDATA!$U$3:$U$302,MATCH(ORDER!A7,MASTERDATA!$L$3:$L$302,0))</f>
        <v>#N/A</v>
      </c>
      <c r="AB7" s="62" t="e">
        <f>INDEX(MASTERDATA!$H$3:$H$302,MATCH(ORDER!A7,MASTERDATA!$L$3:$L$302,0))</f>
        <v>#N/A</v>
      </c>
    </row>
    <row r="8" spans="1:39" ht="15.75" x14ac:dyDescent="0.3">
      <c r="A8" s="114">
        <f>IF(AND(NOT(MASTERDATA!I8="yes"),NOT(MASTERDATA!K8="yes")),MASTERDATA!L8,"")</f>
        <v>0</v>
      </c>
      <c r="B8" s="49" t="e">
        <f>INDEX(MASTERDATA!$V$3:$V$302,MATCH(ORDER!A8,MASTERDATA!$L$3:$L$302,0))</f>
        <v>#N/A</v>
      </c>
      <c r="C8" s="50" t="e">
        <f>INDEX(MASTERDATA!$W$3:$W$302,MATCH(ORDER!A8,MASTERDATA!$L$3:$L$302,0))</f>
        <v>#N/A</v>
      </c>
      <c r="D8" s="51">
        <f ca="1">DATE(YEAR(BRAND!$B$1),MONTH(BRAND!$B$1)+MASTERDATA!Q8,DAY(1))</f>
        <v>42979</v>
      </c>
      <c r="E8" s="52" t="e">
        <f>INDEX(MASTERDATA!$AF$3:$AF$302,MATCH(ORDER!A8,MASTERDATA!$L$3:$L$302,0))</f>
        <v>#N/A</v>
      </c>
      <c r="F8" s="52" t="e">
        <f>INDEX(MASTERDATA!$AH$3:$AH$302,MATCH(ORDER!A8,MASTERDATA!$L$3:$L$302,0))</f>
        <v>#N/A</v>
      </c>
      <c r="G8" s="76"/>
      <c r="H8" s="113">
        <f t="shared" si="0"/>
        <v>0</v>
      </c>
      <c r="I8" s="79" t="str">
        <f ca="1">IFERROR(VLOOKUP(A8&amp;"New PO-Net QTY",BRAND!$F$5:$X$825,MATCH(ORDER!D8,BRAND!$G$5:$X$5,0)+1,0),"")</f>
        <v/>
      </c>
      <c r="J8" s="53">
        <f t="shared" ca="1" si="1"/>
        <v>0</v>
      </c>
      <c r="K8" s="53">
        <f t="shared" ca="1" si="2"/>
        <v>0</v>
      </c>
      <c r="L8" s="54" t="e">
        <f ca="1">J8*INDEX(MASTERDATA!$AA$3:$AA$302,MATCH(ORDER!A8,MASTERDATA!$L$3:$L$302,0))</f>
        <v>#N/A</v>
      </c>
      <c r="M8" s="55">
        <f ca="1">IFERROR(INDEX(MASTERDATA!$AC$3:$AC$302,MATCH(ORDER!A8,MASTERDATA!$L$3:$L$302,0))*I8,0)</f>
        <v>0</v>
      </c>
      <c r="N8" s="56"/>
      <c r="O8" s="115">
        <f t="shared" si="3"/>
        <v>0</v>
      </c>
      <c r="P8" s="57" t="e">
        <f>INDEX(MASTERDATA!$M$3:$M$302,MATCH(ORDER!A8,MASTERDATA!$L$3:$L$302,0))</f>
        <v>#N/A</v>
      </c>
      <c r="Q8" s="58" t="e">
        <f>INDEX(MASTERDATA!$N$3:$N$302,MATCH(ORDER!A8,MASTERDATA!$L$3:$L$302,0))</f>
        <v>#N/A</v>
      </c>
      <c r="R8" s="57" t="str">
        <f t="shared" si="4"/>
        <v/>
      </c>
      <c r="S8" s="59"/>
      <c r="T8" s="59"/>
      <c r="U8" s="57" t="e">
        <f>INDEX(MASTERDATA!$AA$3:$AA$302,MATCH(ORDER!A8,MASTERDATA!$L$3:$L$302,0))*S8</f>
        <v>#N/A</v>
      </c>
      <c r="V8" s="60">
        <f>IFERROR(INDEX(MASTERDATA!$AC$3:$AC$302,MATCH(ORDER!A8,MASTERDATA!$L$3:$L$302,0))*R8,0)</f>
        <v>0</v>
      </c>
      <c r="W8" s="112" t="str">
        <f ca="1">IF(ISNUMBER(I8),VLOOKUP(A8&amp;"DSI End Period",BRAND!$F$5:$X$815,MATCH(D8,BRAND!$G$5:$X$5)+1,0),"")</f>
        <v/>
      </c>
      <c r="X8" s="61"/>
      <c r="Y8" s="62">
        <f>MASTERDATA!R8</f>
        <v>0</v>
      </c>
      <c r="Z8" s="63" t="e">
        <f>INDEX(MASTERDATA!$S$3:$S$302,MATCH(ORDER!A8,MASTERDATA!$L$3:$L$302,0))</f>
        <v>#N/A</v>
      </c>
      <c r="AA8" s="63" t="e">
        <f>INDEX(MASTERDATA!$U$3:$U$302,MATCH(ORDER!A8,MASTERDATA!$L$3:$L$302,0))</f>
        <v>#N/A</v>
      </c>
      <c r="AB8" s="62" t="e">
        <f>INDEX(MASTERDATA!$H$3:$H$302,MATCH(ORDER!A8,MASTERDATA!$L$3:$L$302,0))</f>
        <v>#N/A</v>
      </c>
    </row>
    <row r="9" spans="1:39" ht="15.75" x14ac:dyDescent="0.3">
      <c r="A9" s="114">
        <f>IF(AND(NOT(MASTERDATA!I9="yes"),NOT(MASTERDATA!K9="yes")),MASTERDATA!L9,"")</f>
        <v>0</v>
      </c>
      <c r="B9" s="49" t="e">
        <f>INDEX(MASTERDATA!$V$3:$V$302,MATCH(ORDER!A9,MASTERDATA!$L$3:$L$302,0))</f>
        <v>#N/A</v>
      </c>
      <c r="C9" s="50" t="e">
        <f>INDEX(MASTERDATA!$W$3:$W$302,MATCH(ORDER!A9,MASTERDATA!$L$3:$L$302,0))</f>
        <v>#N/A</v>
      </c>
      <c r="D9" s="51">
        <f ca="1">DATE(YEAR(BRAND!$B$1),MONTH(BRAND!$B$1)+MASTERDATA!Q9,DAY(1))</f>
        <v>42979</v>
      </c>
      <c r="E9" s="52" t="e">
        <f>INDEX(MASTERDATA!$AF$3:$AF$302,MATCH(ORDER!A9,MASTERDATA!$L$3:$L$302,0))</f>
        <v>#N/A</v>
      </c>
      <c r="F9" s="52" t="e">
        <f>INDEX(MASTERDATA!$AH$3:$AH$302,MATCH(ORDER!A9,MASTERDATA!$L$3:$L$302,0))</f>
        <v>#N/A</v>
      </c>
      <c r="G9" s="76"/>
      <c r="H9" s="113">
        <f t="shared" si="0"/>
        <v>0</v>
      </c>
      <c r="I9" s="79" t="str">
        <f ca="1">IFERROR(VLOOKUP(A9&amp;"New PO-Net QTY",BRAND!$F$5:$X$825,MATCH(ORDER!D9,BRAND!$G$5:$X$5,0)+1,0),"")</f>
        <v/>
      </c>
      <c r="J9" s="53">
        <f t="shared" ca="1" si="1"/>
        <v>0</v>
      </c>
      <c r="K9" s="53">
        <f t="shared" ca="1" si="2"/>
        <v>0</v>
      </c>
      <c r="L9" s="54" t="e">
        <f ca="1">J9*INDEX(MASTERDATA!$AA$3:$AA$302,MATCH(ORDER!A9,MASTERDATA!$L$3:$L$302,0))</f>
        <v>#N/A</v>
      </c>
      <c r="M9" s="55">
        <f ca="1">IFERROR(INDEX(MASTERDATA!$AC$3:$AC$302,MATCH(ORDER!A9,MASTERDATA!$L$3:$L$302,0))*I9,0)</f>
        <v>0</v>
      </c>
      <c r="N9" s="56"/>
      <c r="O9" s="115">
        <f t="shared" si="3"/>
        <v>0</v>
      </c>
      <c r="P9" s="57" t="e">
        <f>INDEX(MASTERDATA!$M$3:$M$302,MATCH(ORDER!A9,MASTERDATA!$L$3:$L$302,0))</f>
        <v>#N/A</v>
      </c>
      <c r="Q9" s="58" t="e">
        <f>INDEX(MASTERDATA!$N$3:$N$302,MATCH(ORDER!A9,MASTERDATA!$L$3:$L$302,0))</f>
        <v>#N/A</v>
      </c>
      <c r="R9" s="57" t="str">
        <f t="shared" si="4"/>
        <v/>
      </c>
      <c r="S9" s="59"/>
      <c r="T9" s="59"/>
      <c r="U9" s="57" t="e">
        <f>INDEX(MASTERDATA!$AA$3:$AA$302,MATCH(ORDER!A9,MASTERDATA!$L$3:$L$302,0))*S9</f>
        <v>#N/A</v>
      </c>
      <c r="V9" s="60">
        <f>IFERROR(INDEX(MASTERDATA!$AC$3:$AC$302,MATCH(ORDER!A9,MASTERDATA!$L$3:$L$302,0))*R9,0)</f>
        <v>0</v>
      </c>
      <c r="W9" s="112" t="str">
        <f ca="1">IF(ISNUMBER(I9),VLOOKUP(A9&amp;"DSI End Period",BRAND!$F$5:$X$815,MATCH(D9,BRAND!$G$5:$X$5)+1,0),"")</f>
        <v/>
      </c>
      <c r="X9" s="61"/>
      <c r="Y9" s="62">
        <f>MASTERDATA!R9</f>
        <v>0</v>
      </c>
      <c r="Z9" s="63" t="e">
        <f>INDEX(MASTERDATA!$S$3:$S$302,MATCH(ORDER!A9,MASTERDATA!$L$3:$L$302,0))</f>
        <v>#N/A</v>
      </c>
      <c r="AA9" s="63" t="e">
        <f>INDEX(MASTERDATA!$U$3:$U$302,MATCH(ORDER!A9,MASTERDATA!$L$3:$L$302,0))</f>
        <v>#N/A</v>
      </c>
      <c r="AB9" s="62" t="e">
        <f>INDEX(MASTERDATA!$H$3:$H$302,MATCH(ORDER!A9,MASTERDATA!$L$3:$L$302,0))</f>
        <v>#N/A</v>
      </c>
    </row>
    <row r="10" spans="1:39" ht="15.75" x14ac:dyDescent="0.3">
      <c r="A10" s="114">
        <f>IF(AND(NOT(MASTERDATA!I10="yes"),NOT(MASTERDATA!K10="yes")),MASTERDATA!L10,"")</f>
        <v>0</v>
      </c>
      <c r="B10" s="49" t="e">
        <f>INDEX(MASTERDATA!$V$3:$V$302,MATCH(ORDER!A10,MASTERDATA!$L$3:$L$302,0))</f>
        <v>#N/A</v>
      </c>
      <c r="C10" s="50" t="e">
        <f>INDEX(MASTERDATA!$W$3:$W$302,MATCH(ORDER!A10,MASTERDATA!$L$3:$L$302,0))</f>
        <v>#N/A</v>
      </c>
      <c r="D10" s="51">
        <f ca="1">DATE(YEAR(BRAND!$B$1),MONTH(BRAND!$B$1)+MASTERDATA!Q10,DAY(1))</f>
        <v>42979</v>
      </c>
      <c r="E10" s="52" t="e">
        <f>INDEX(MASTERDATA!$AF$3:$AF$302,MATCH(ORDER!A10,MASTERDATA!$L$3:$L$302,0))</f>
        <v>#N/A</v>
      </c>
      <c r="F10" s="52" t="e">
        <f>INDEX(MASTERDATA!$AH$3:$AH$302,MATCH(ORDER!A10,MASTERDATA!$L$3:$L$302,0))</f>
        <v>#N/A</v>
      </c>
      <c r="G10" s="76"/>
      <c r="H10" s="113">
        <f t="shared" si="0"/>
        <v>0</v>
      </c>
      <c r="I10" s="79" t="str">
        <f ca="1">IFERROR(VLOOKUP(A10&amp;"New PO-Net QTY",BRAND!$F$5:$X$825,MATCH(ORDER!D10,BRAND!$G$5:$X$5,0)+1,0),"")</f>
        <v/>
      </c>
      <c r="J10" s="53">
        <f t="shared" ca="1" si="1"/>
        <v>0</v>
      </c>
      <c r="K10" s="53">
        <f t="shared" ca="1" si="2"/>
        <v>0</v>
      </c>
      <c r="L10" s="54" t="e">
        <f ca="1">J10*INDEX(MASTERDATA!$AA$3:$AA$302,MATCH(ORDER!A10,MASTERDATA!$L$3:$L$302,0))</f>
        <v>#N/A</v>
      </c>
      <c r="M10" s="55">
        <f ca="1">IFERROR(INDEX(MASTERDATA!$AC$3:$AC$302,MATCH(ORDER!A10,MASTERDATA!$L$3:$L$302,0))*I10,0)</f>
        <v>0</v>
      </c>
      <c r="N10" s="56"/>
      <c r="O10" s="115">
        <f t="shared" si="3"/>
        <v>0</v>
      </c>
      <c r="P10" s="57" t="e">
        <f>INDEX(MASTERDATA!$M$3:$M$302,MATCH(ORDER!A10,MASTERDATA!$L$3:$L$302,0))</f>
        <v>#N/A</v>
      </c>
      <c r="Q10" s="58" t="e">
        <f>INDEX(MASTERDATA!$N$3:$N$302,MATCH(ORDER!A10,MASTERDATA!$L$3:$L$302,0))</f>
        <v>#N/A</v>
      </c>
      <c r="R10" s="57" t="str">
        <f t="shared" si="4"/>
        <v/>
      </c>
      <c r="S10" s="59"/>
      <c r="T10" s="59"/>
      <c r="U10" s="57" t="e">
        <f>INDEX(MASTERDATA!$AA$3:$AA$302,MATCH(ORDER!A10,MASTERDATA!$L$3:$L$302,0))*S10</f>
        <v>#N/A</v>
      </c>
      <c r="V10" s="60">
        <f>IFERROR(INDEX(MASTERDATA!$AC$3:$AC$302,MATCH(ORDER!A10,MASTERDATA!$L$3:$L$302,0))*R10,0)</f>
        <v>0</v>
      </c>
      <c r="W10" s="112" t="str">
        <f ca="1">IF(ISNUMBER(I10),VLOOKUP(A10&amp;"DSI End Period",BRAND!$F$5:$X$815,MATCH(D10,BRAND!$G$5:$X$5)+1,0),"")</f>
        <v/>
      </c>
      <c r="X10" s="61"/>
      <c r="Y10" s="62">
        <f>MASTERDATA!R10</f>
        <v>0</v>
      </c>
      <c r="Z10" s="63" t="e">
        <f>INDEX(MASTERDATA!$S$3:$S$302,MATCH(ORDER!A10,MASTERDATA!$L$3:$L$302,0))</f>
        <v>#N/A</v>
      </c>
      <c r="AA10" s="63" t="e">
        <f>INDEX(MASTERDATA!$U$3:$U$302,MATCH(ORDER!A10,MASTERDATA!$L$3:$L$302,0))</f>
        <v>#N/A</v>
      </c>
      <c r="AB10" s="62" t="e">
        <f>INDEX(MASTERDATA!$H$3:$H$302,MATCH(ORDER!A10,MASTERDATA!$L$3:$L$302,0))</f>
        <v>#N/A</v>
      </c>
    </row>
    <row r="11" spans="1:39" ht="15.75" hidden="1" x14ac:dyDescent="0.3">
      <c r="A11" s="114">
        <f>IF(AND(NOT(MASTERDATA!I11="yes"),NOT(MASTERDATA!K11="yes")),MASTERDATA!L11,"")</f>
        <v>0</v>
      </c>
      <c r="B11" s="49" t="e">
        <f>INDEX(MASTERDATA!$V$3:$V$302,MATCH(ORDER!A11,MASTERDATA!$L$3:$L$302,0))</f>
        <v>#N/A</v>
      </c>
      <c r="C11" s="50" t="e">
        <f>INDEX(MASTERDATA!$W$3:$W$302,MATCH(ORDER!A11,MASTERDATA!$L$3:$L$302,0))</f>
        <v>#N/A</v>
      </c>
      <c r="D11" s="51">
        <f ca="1">DATE(YEAR(BRAND!$B$1),MONTH(BRAND!$B$1)+MASTERDATA!Q11,DAY(1))</f>
        <v>42979</v>
      </c>
      <c r="E11" s="52" t="e">
        <f>INDEX(MASTERDATA!$AF$3:$AF$302,MATCH(ORDER!A11,MASTERDATA!$L$3:$L$302,0))</f>
        <v>#N/A</v>
      </c>
      <c r="F11" s="52" t="e">
        <f>INDEX(MASTERDATA!$AH$3:$AH$302,MATCH(ORDER!A11,MASTERDATA!$L$3:$L$302,0))</f>
        <v>#N/A</v>
      </c>
      <c r="G11" s="76"/>
      <c r="H11" s="113">
        <f t="shared" si="0"/>
        <v>0</v>
      </c>
      <c r="I11" s="79" t="str">
        <f ca="1">IFERROR(VLOOKUP(A11&amp;"New PO-Net QTY",BRAND!$F$5:$X$825,MATCH(ORDER!D11,BRAND!$G$5:$X$5,0)+1,0),"")</f>
        <v/>
      </c>
      <c r="J11" s="53">
        <f t="shared" ca="1" si="1"/>
        <v>0</v>
      </c>
      <c r="K11" s="53">
        <f t="shared" ca="1" si="2"/>
        <v>0</v>
      </c>
      <c r="L11" s="54" t="e">
        <f ca="1">J11*INDEX(MASTERDATA!$AA$3:$AA$302,MATCH(ORDER!A11,MASTERDATA!$L$3:$L$302,0))</f>
        <v>#N/A</v>
      </c>
      <c r="M11" s="55">
        <f ca="1">IFERROR(INDEX(MASTERDATA!$AC$3:$AC$302,MATCH(ORDER!A11,MASTERDATA!$L$3:$L$302,0))*I11,0)</f>
        <v>0</v>
      </c>
      <c r="N11" s="56"/>
      <c r="O11" s="115">
        <f t="shared" si="3"/>
        <v>0</v>
      </c>
      <c r="P11" s="57" t="e">
        <f>INDEX(MASTERDATA!$M$3:$M$302,MATCH(ORDER!A11,MASTERDATA!$L$3:$L$302,0))</f>
        <v>#N/A</v>
      </c>
      <c r="Q11" s="58" t="e">
        <f>INDEX(MASTERDATA!$N$3:$N$302,MATCH(ORDER!A11,MASTERDATA!$L$3:$L$302,0))</f>
        <v>#N/A</v>
      </c>
      <c r="R11" s="57" t="str">
        <f t="shared" si="4"/>
        <v/>
      </c>
      <c r="S11" s="59"/>
      <c r="T11" s="59"/>
      <c r="U11" s="57" t="e">
        <f>INDEX(MASTERDATA!$AA$3:$AA$302,MATCH(ORDER!A11,MASTERDATA!$L$3:$L$302,0))*S11</f>
        <v>#N/A</v>
      </c>
      <c r="V11" s="60">
        <f>IFERROR(INDEX(MASTERDATA!$AC$3:$AC$302,MATCH(ORDER!A11,MASTERDATA!$L$3:$L$302,0))*R11,0)</f>
        <v>0</v>
      </c>
      <c r="W11" s="112" t="str">
        <f ca="1">IF(ISNUMBER(I11),VLOOKUP(A11&amp;"DSI End Period",BRAND!$F$5:$X$815,MATCH(D11,BRAND!$G$5:$X$5)+1,0),"")</f>
        <v/>
      </c>
      <c r="X11" s="61"/>
      <c r="Y11" s="62">
        <f>MASTERDATA!R11</f>
        <v>0</v>
      </c>
      <c r="Z11" s="63" t="e">
        <f>INDEX(MASTERDATA!$S$3:$S$302,MATCH(ORDER!A11,MASTERDATA!$L$3:$L$302,0))</f>
        <v>#N/A</v>
      </c>
      <c r="AA11" s="63" t="e">
        <f>INDEX(MASTERDATA!$U$3:$U$302,MATCH(ORDER!A11,MASTERDATA!$L$3:$L$302,0))</f>
        <v>#N/A</v>
      </c>
      <c r="AB11" s="62" t="e">
        <f>INDEX(MASTERDATA!$H$3:$H$302,MATCH(ORDER!A11,MASTERDATA!$L$3:$L$302,0))</f>
        <v>#N/A</v>
      </c>
      <c r="AC11" s="64"/>
      <c r="AD11" s="29"/>
      <c r="AE11" s="65"/>
      <c r="AF11" s="65"/>
      <c r="AG11" s="65"/>
      <c r="AH11" s="65"/>
      <c r="AI11" s="65"/>
      <c r="AJ11" s="65"/>
      <c r="AK11" s="65"/>
      <c r="AL11" s="65"/>
      <c r="AM11" s="65"/>
    </row>
    <row r="12" spans="1:39" ht="15.75" x14ac:dyDescent="0.3">
      <c r="A12" s="114">
        <f>IF(AND(NOT(MASTERDATA!I12="yes"),NOT(MASTERDATA!K12="yes")),MASTERDATA!L12,"")</f>
        <v>0</v>
      </c>
      <c r="B12" s="49" t="e">
        <f>INDEX(MASTERDATA!$V$3:$V$302,MATCH(ORDER!A12,MASTERDATA!$L$3:$L$302,0))</f>
        <v>#N/A</v>
      </c>
      <c r="C12" s="50" t="e">
        <f>INDEX(MASTERDATA!$W$3:$W$302,MATCH(ORDER!A12,MASTERDATA!$L$3:$L$302,0))</f>
        <v>#N/A</v>
      </c>
      <c r="D12" s="51">
        <f ca="1">DATE(YEAR(BRAND!$B$1),MONTH(BRAND!$B$1)+MASTERDATA!Q12,DAY(1))</f>
        <v>42979</v>
      </c>
      <c r="E12" s="52" t="e">
        <f>INDEX(MASTERDATA!$AF$3:$AF$302,MATCH(ORDER!A12,MASTERDATA!$L$3:$L$302,0))</f>
        <v>#N/A</v>
      </c>
      <c r="F12" s="52" t="e">
        <f>INDEX(MASTERDATA!$AH$3:$AH$302,MATCH(ORDER!A12,MASTERDATA!$L$3:$L$302,0))</f>
        <v>#N/A</v>
      </c>
      <c r="G12" s="76"/>
      <c r="H12" s="113">
        <f t="shared" si="0"/>
        <v>0</v>
      </c>
      <c r="I12" s="79" t="str">
        <f ca="1">IFERROR(VLOOKUP(A12&amp;"New PO-Net QTY",BRAND!$F$5:$X$825,MATCH(ORDER!D12,BRAND!$G$5:$X$5,0)+1,0),"")</f>
        <v/>
      </c>
      <c r="J12" s="53">
        <f t="shared" ca="1" si="1"/>
        <v>0</v>
      </c>
      <c r="K12" s="53">
        <f t="shared" ca="1" si="2"/>
        <v>0</v>
      </c>
      <c r="L12" s="54" t="e">
        <f ca="1">J12*INDEX(MASTERDATA!$AA$3:$AA$302,MATCH(ORDER!A12,MASTERDATA!$L$3:$L$302,0))</f>
        <v>#N/A</v>
      </c>
      <c r="M12" s="55">
        <f ca="1">IFERROR(INDEX(MASTERDATA!$AC$3:$AC$302,MATCH(ORDER!A12,MASTERDATA!$L$3:$L$302,0))*I12,0)</f>
        <v>0</v>
      </c>
      <c r="N12" s="56"/>
      <c r="O12" s="115">
        <f t="shared" si="3"/>
        <v>0</v>
      </c>
      <c r="P12" s="57" t="e">
        <f>INDEX(MASTERDATA!$M$3:$M$302,MATCH(ORDER!A12,MASTERDATA!$L$3:$L$302,0))</f>
        <v>#N/A</v>
      </c>
      <c r="Q12" s="58" t="e">
        <f>INDEX(MASTERDATA!$N$3:$N$302,MATCH(ORDER!A12,MASTERDATA!$L$3:$L$302,0))</f>
        <v>#N/A</v>
      </c>
      <c r="R12" s="57" t="str">
        <f t="shared" si="4"/>
        <v/>
      </c>
      <c r="S12" s="59"/>
      <c r="T12" s="59"/>
      <c r="U12" s="57" t="e">
        <f>INDEX(MASTERDATA!$AA$3:$AA$302,MATCH(ORDER!A12,MASTERDATA!$L$3:$L$302,0))*S12</f>
        <v>#N/A</v>
      </c>
      <c r="V12" s="60">
        <f>IFERROR(INDEX(MASTERDATA!$AC$3:$AC$302,MATCH(ORDER!A12,MASTERDATA!$L$3:$L$302,0))*R12,0)</f>
        <v>0</v>
      </c>
      <c r="W12" s="112" t="str">
        <f ca="1">IF(ISNUMBER(I12),VLOOKUP(A12&amp;"DSI End Period",BRAND!$F$5:$X$815,MATCH(D12,BRAND!$G$5:$X$5)+1,0),"")</f>
        <v/>
      </c>
      <c r="X12" s="61"/>
      <c r="Y12" s="62">
        <f>MASTERDATA!R12</f>
        <v>0</v>
      </c>
      <c r="Z12" s="63" t="e">
        <f>INDEX(MASTERDATA!$S$3:$S$302,MATCH(ORDER!A12,MASTERDATA!$L$3:$L$302,0))</f>
        <v>#N/A</v>
      </c>
      <c r="AA12" s="63" t="e">
        <f>INDEX(MASTERDATA!$U$3:$U$302,MATCH(ORDER!A12,MASTERDATA!$L$3:$L$302,0))</f>
        <v>#N/A</v>
      </c>
      <c r="AB12" s="62" t="e">
        <f>INDEX(MASTERDATA!$H$3:$H$302,MATCH(ORDER!A12,MASTERDATA!$L$3:$L$302,0))</f>
        <v>#N/A</v>
      </c>
    </row>
    <row r="13" spans="1:39" ht="15.75" hidden="1" x14ac:dyDescent="0.3">
      <c r="A13" s="114">
        <f>IF(AND(NOT(MASTERDATA!I13="yes"),NOT(MASTERDATA!K13="yes")),MASTERDATA!L13,"")</f>
        <v>0</v>
      </c>
      <c r="B13" s="49" t="e">
        <f>INDEX(MASTERDATA!$V$3:$V$302,MATCH(ORDER!A13,MASTERDATA!$L$3:$L$302,0))</f>
        <v>#N/A</v>
      </c>
      <c r="C13" s="50" t="e">
        <f>INDEX(MASTERDATA!$W$3:$W$302,MATCH(ORDER!A13,MASTERDATA!$L$3:$L$302,0))</f>
        <v>#N/A</v>
      </c>
      <c r="D13" s="51">
        <f ca="1">DATE(YEAR(BRAND!$B$1),MONTH(BRAND!$B$1)+MASTERDATA!Q13,DAY(1))</f>
        <v>42979</v>
      </c>
      <c r="E13" s="52" t="e">
        <f>INDEX(MASTERDATA!$AF$3:$AF$302,MATCH(ORDER!A13,MASTERDATA!$L$3:$L$302,0))</f>
        <v>#N/A</v>
      </c>
      <c r="F13" s="52" t="e">
        <f>INDEX(MASTERDATA!$AH$3:$AH$302,MATCH(ORDER!A13,MASTERDATA!$L$3:$L$302,0))</f>
        <v>#N/A</v>
      </c>
      <c r="G13" s="76"/>
      <c r="H13" s="113">
        <f t="shared" si="0"/>
        <v>0</v>
      </c>
      <c r="I13" s="79" t="str">
        <f ca="1">IFERROR(VLOOKUP(A13&amp;"New PO-Net QTY",BRAND!$F$5:$X$825,MATCH(ORDER!D13,BRAND!$G$5:$X$5,0)+1,0),"")</f>
        <v/>
      </c>
      <c r="J13" s="53">
        <f t="shared" ca="1" si="1"/>
        <v>0</v>
      </c>
      <c r="K13" s="53">
        <f t="shared" ca="1" si="2"/>
        <v>0</v>
      </c>
      <c r="L13" s="54" t="e">
        <f ca="1">J13*INDEX(MASTERDATA!$AA$3:$AA$302,MATCH(ORDER!A13,MASTERDATA!$L$3:$L$302,0))</f>
        <v>#N/A</v>
      </c>
      <c r="M13" s="55">
        <f ca="1">IFERROR(INDEX(MASTERDATA!$AC$3:$AC$302,MATCH(ORDER!A13,MASTERDATA!$L$3:$L$302,0))*I13,0)</f>
        <v>0</v>
      </c>
      <c r="N13" s="56"/>
      <c r="O13" s="115">
        <f t="shared" si="3"/>
        <v>0</v>
      </c>
      <c r="P13" s="57" t="e">
        <f>INDEX(MASTERDATA!$M$3:$M$302,MATCH(ORDER!A13,MASTERDATA!$L$3:$L$302,0))</f>
        <v>#N/A</v>
      </c>
      <c r="Q13" s="58" t="e">
        <f>INDEX(MASTERDATA!$N$3:$N$302,MATCH(ORDER!A13,MASTERDATA!$L$3:$L$302,0))</f>
        <v>#N/A</v>
      </c>
      <c r="R13" s="57" t="str">
        <f t="shared" si="4"/>
        <v/>
      </c>
      <c r="S13" s="59"/>
      <c r="T13" s="59"/>
      <c r="U13" s="57" t="e">
        <f>INDEX(MASTERDATA!$AA$3:$AA$302,MATCH(ORDER!A13,MASTERDATA!$L$3:$L$302,0))*S13</f>
        <v>#N/A</v>
      </c>
      <c r="V13" s="60">
        <f>IFERROR(INDEX(MASTERDATA!$AC$3:$AC$302,MATCH(ORDER!A13,MASTERDATA!$L$3:$L$302,0))*R13,0)</f>
        <v>0</v>
      </c>
      <c r="W13" s="112" t="str">
        <f ca="1">IF(ISNUMBER(I13),VLOOKUP(A13&amp;"DSI End Period",BRAND!$F$5:$X$815,MATCH(D13,BRAND!$G$5:$X$5)+1,0),"")</f>
        <v/>
      </c>
      <c r="X13" s="61"/>
      <c r="Y13" s="62">
        <f>MASTERDATA!R13</f>
        <v>0</v>
      </c>
      <c r="Z13" s="63" t="e">
        <f>INDEX(MASTERDATA!$S$3:$S$302,MATCH(ORDER!A13,MASTERDATA!$L$3:$L$302,0))</f>
        <v>#N/A</v>
      </c>
      <c r="AA13" s="63" t="e">
        <f>INDEX(MASTERDATA!$U$3:$U$302,MATCH(ORDER!A13,MASTERDATA!$L$3:$L$302,0))</f>
        <v>#N/A</v>
      </c>
      <c r="AB13" s="62" t="e">
        <f>INDEX(MASTERDATA!$H$3:$H$302,MATCH(ORDER!A13,MASTERDATA!$L$3:$L$302,0))</f>
        <v>#N/A</v>
      </c>
      <c r="AC13" s="64"/>
      <c r="AD13" s="29"/>
      <c r="AE13" s="65"/>
      <c r="AF13" s="65"/>
      <c r="AG13" s="65"/>
      <c r="AH13" s="65"/>
      <c r="AI13" s="65"/>
      <c r="AJ13" s="65"/>
      <c r="AK13" s="65"/>
      <c r="AL13" s="65"/>
      <c r="AM13" s="65"/>
    </row>
    <row r="14" spans="1:39" ht="15.75" hidden="1" x14ac:dyDescent="0.15">
      <c r="A14" s="114">
        <f>IF(AND(NOT(MASTERDATA!I14="yes"),NOT(MASTERDATA!K14="yes")),MASTERDATA!L14,"")</f>
        <v>0</v>
      </c>
      <c r="B14" s="49" t="e">
        <f>INDEX(MASTERDATA!$V$3:$V$302,MATCH(ORDER!A14,MASTERDATA!$L$3:$L$302,0))</f>
        <v>#N/A</v>
      </c>
      <c r="C14" s="50" t="e">
        <f>INDEX(MASTERDATA!$W$3:$W$302,MATCH(ORDER!A14,MASTERDATA!$L$3:$L$302,0))</f>
        <v>#N/A</v>
      </c>
      <c r="D14" s="51">
        <f ca="1">DATE(YEAR(BRAND!$B$1),MONTH(BRAND!$B$1)+MASTERDATA!Q14,DAY(1))</f>
        <v>42979</v>
      </c>
      <c r="E14" s="52" t="e">
        <f>INDEX(MASTERDATA!$AF$3:$AF$302,MATCH(ORDER!A14,MASTERDATA!$L$3:$L$302,0))</f>
        <v>#N/A</v>
      </c>
      <c r="F14" s="52" t="e">
        <f>INDEX(MASTERDATA!$AH$3:$AH$302,MATCH(ORDER!A14,MASTERDATA!$L$3:$L$302,0))</f>
        <v>#N/A</v>
      </c>
      <c r="G14" s="76"/>
      <c r="H14" s="113">
        <f t="shared" si="0"/>
        <v>0</v>
      </c>
      <c r="I14" s="79" t="str">
        <f ca="1">IFERROR(VLOOKUP(A14&amp;"New PO-Net QTY",BRAND!$F$5:$X$825,MATCH(ORDER!D14,BRAND!$G$5:$X$5,0)+1,0),"")</f>
        <v/>
      </c>
      <c r="J14" s="53">
        <f t="shared" ca="1" si="1"/>
        <v>0</v>
      </c>
      <c r="K14" s="53">
        <f t="shared" ca="1" si="2"/>
        <v>0</v>
      </c>
      <c r="L14" s="54" t="e">
        <f ca="1">J14*INDEX(MASTERDATA!$AA$3:$AA$302,MATCH(ORDER!A14,MASTERDATA!$L$3:$L$302,0))</f>
        <v>#N/A</v>
      </c>
      <c r="M14" s="55">
        <f ca="1">IFERROR(INDEX(MASTERDATA!$AC$3:$AC$302,MATCH(ORDER!A14,MASTERDATA!$L$3:$L$302,0))*I14,0)</f>
        <v>0</v>
      </c>
      <c r="N14" s="56"/>
      <c r="O14" s="115">
        <f t="shared" si="3"/>
        <v>0</v>
      </c>
      <c r="P14" s="57" t="e">
        <f>INDEX(MASTERDATA!$M$3:$M$302,MATCH(ORDER!A14,MASTERDATA!$L$3:$L$302,0))</f>
        <v>#N/A</v>
      </c>
      <c r="Q14" s="58" t="e">
        <f>INDEX(MASTERDATA!$N$3:$N$302,MATCH(ORDER!A14,MASTERDATA!$L$3:$L$302,0))</f>
        <v>#N/A</v>
      </c>
      <c r="R14" s="57" t="str">
        <f t="shared" si="4"/>
        <v/>
      </c>
      <c r="S14" s="59"/>
      <c r="T14" s="59"/>
      <c r="U14" s="57" t="e">
        <f>INDEX(MASTERDATA!$AA$3:$AA$302,MATCH(ORDER!A14,MASTERDATA!$L$3:$L$302,0))*S14</f>
        <v>#N/A</v>
      </c>
      <c r="V14" s="60">
        <f>IFERROR(INDEX(MASTERDATA!$AC$3:$AC$302,MATCH(ORDER!A14,MASTERDATA!$L$3:$L$302,0))*R14,0)</f>
        <v>0</v>
      </c>
      <c r="W14" s="112" t="str">
        <f ca="1">IF(ISNUMBER(I14),VLOOKUP(A14&amp;"DSI End Period",BRAND!$F$5:$X$815,MATCH(D14,BRAND!$G$5:$X$5)+1,0),"")</f>
        <v/>
      </c>
      <c r="X14" s="61"/>
      <c r="Y14" s="62">
        <f>MASTERDATA!R14</f>
        <v>0</v>
      </c>
      <c r="Z14" s="63" t="e">
        <f>INDEX(MASTERDATA!$S$3:$S$302,MATCH(ORDER!A14,MASTERDATA!$L$3:$L$302,0))</f>
        <v>#N/A</v>
      </c>
      <c r="AA14" s="63" t="e">
        <f>INDEX(MASTERDATA!$U$3:$U$302,MATCH(ORDER!A14,MASTERDATA!$L$3:$L$302,0))</f>
        <v>#N/A</v>
      </c>
      <c r="AB14" s="62" t="e">
        <f>INDEX(MASTERDATA!$H$3:$H$302,MATCH(ORDER!A14,MASTERDATA!$L$3:$L$302,0))</f>
        <v>#N/A</v>
      </c>
      <c r="AC14" s="64"/>
      <c r="AD14" s="29"/>
      <c r="AE14" s="65"/>
      <c r="AF14" s="65"/>
      <c r="AG14" s="65"/>
      <c r="AH14" s="65"/>
      <c r="AI14" s="65"/>
      <c r="AJ14" s="65"/>
      <c r="AK14" s="65"/>
      <c r="AL14" s="65"/>
      <c r="AM14" s="65"/>
    </row>
    <row r="15" spans="1:39" ht="15.75" hidden="1" x14ac:dyDescent="0.15">
      <c r="A15" s="114">
        <f>IF(AND(NOT(MASTERDATA!I15="yes"),NOT(MASTERDATA!K15="yes")),MASTERDATA!L15,"")</f>
        <v>0</v>
      </c>
      <c r="B15" s="49" t="e">
        <f>INDEX(MASTERDATA!$V$3:$V$302,MATCH(ORDER!A15,MASTERDATA!$L$3:$L$302,0))</f>
        <v>#N/A</v>
      </c>
      <c r="C15" s="50" t="e">
        <f>INDEX(MASTERDATA!$W$3:$W$302,MATCH(ORDER!A15,MASTERDATA!$L$3:$L$302,0))</f>
        <v>#N/A</v>
      </c>
      <c r="D15" s="51">
        <f ca="1">DATE(YEAR(BRAND!$B$1),MONTH(BRAND!$B$1)+MASTERDATA!Q15,DAY(1))</f>
        <v>42979</v>
      </c>
      <c r="E15" s="52" t="e">
        <f>INDEX(MASTERDATA!$AF$3:$AF$302,MATCH(ORDER!A15,MASTERDATA!$L$3:$L$302,0))</f>
        <v>#N/A</v>
      </c>
      <c r="F15" s="52" t="e">
        <f>INDEX(MASTERDATA!$AH$3:$AH$302,MATCH(ORDER!A15,MASTERDATA!$L$3:$L$302,0))</f>
        <v>#N/A</v>
      </c>
      <c r="G15" s="76"/>
      <c r="H15" s="113">
        <f t="shared" si="0"/>
        <v>0</v>
      </c>
      <c r="I15" s="79" t="str">
        <f ca="1">IFERROR(VLOOKUP(A15&amp;"New PO-Net QTY",BRAND!$F$5:$X$825,MATCH(ORDER!D15,BRAND!$G$5:$X$5,0)+1,0),"")</f>
        <v/>
      </c>
      <c r="J15" s="53">
        <f t="shared" ca="1" si="1"/>
        <v>0</v>
      </c>
      <c r="K15" s="53">
        <f t="shared" ca="1" si="2"/>
        <v>0</v>
      </c>
      <c r="L15" s="54" t="e">
        <f ca="1">J15*INDEX(MASTERDATA!$AA$3:$AA$302,MATCH(ORDER!A15,MASTERDATA!$L$3:$L$302,0))</f>
        <v>#N/A</v>
      </c>
      <c r="M15" s="55">
        <f ca="1">IFERROR(INDEX(MASTERDATA!$AC$3:$AC$302,MATCH(ORDER!A15,MASTERDATA!$L$3:$L$302,0))*I15,0)</f>
        <v>0</v>
      </c>
      <c r="N15" s="56"/>
      <c r="O15" s="115">
        <f t="shared" si="3"/>
        <v>0</v>
      </c>
      <c r="P15" s="57" t="e">
        <f>INDEX(MASTERDATA!$M$3:$M$302,MATCH(ORDER!A15,MASTERDATA!$L$3:$L$302,0))</f>
        <v>#N/A</v>
      </c>
      <c r="Q15" s="58" t="e">
        <f>INDEX(MASTERDATA!$N$3:$N$302,MATCH(ORDER!A15,MASTERDATA!$L$3:$L$302,0))</f>
        <v>#N/A</v>
      </c>
      <c r="R15" s="57" t="str">
        <f t="shared" si="4"/>
        <v/>
      </c>
      <c r="S15" s="59"/>
      <c r="T15" s="59"/>
      <c r="U15" s="57" t="e">
        <f>INDEX(MASTERDATA!$AA$3:$AA$302,MATCH(ORDER!A15,MASTERDATA!$L$3:$L$302,0))*S15</f>
        <v>#N/A</v>
      </c>
      <c r="V15" s="60">
        <f>IFERROR(INDEX(MASTERDATA!$AC$3:$AC$302,MATCH(ORDER!A15,MASTERDATA!$L$3:$L$302,0))*R15,0)</f>
        <v>0</v>
      </c>
      <c r="W15" s="112" t="str">
        <f ca="1">IF(ISNUMBER(I15),VLOOKUP(A15&amp;"DSI End Period",BRAND!$F$5:$X$815,MATCH(D15,BRAND!$G$5:$X$5)+1,0),"")</f>
        <v/>
      </c>
      <c r="X15" s="61"/>
      <c r="Y15" s="62">
        <f>MASTERDATA!R15</f>
        <v>0</v>
      </c>
      <c r="Z15" s="63" t="e">
        <f>INDEX(MASTERDATA!$S$3:$S$302,MATCH(ORDER!A15,MASTERDATA!$L$3:$L$302,0))</f>
        <v>#N/A</v>
      </c>
      <c r="AA15" s="63" t="e">
        <f>INDEX(MASTERDATA!$U$3:$U$302,MATCH(ORDER!A15,MASTERDATA!$L$3:$L$302,0))</f>
        <v>#N/A</v>
      </c>
      <c r="AB15" s="62" t="e">
        <f>INDEX(MASTERDATA!$H$3:$H$302,MATCH(ORDER!A15,MASTERDATA!$L$3:$L$302,0))</f>
        <v>#N/A</v>
      </c>
      <c r="AC15" s="64"/>
      <c r="AD15" s="29"/>
      <c r="AE15" s="65"/>
      <c r="AF15" s="65"/>
      <c r="AG15" s="65"/>
      <c r="AH15" s="65"/>
      <c r="AI15" s="65"/>
      <c r="AJ15" s="65"/>
      <c r="AK15" s="65"/>
      <c r="AL15" s="65"/>
      <c r="AM15" s="65"/>
    </row>
    <row r="16" spans="1:39" ht="15.75" hidden="1" x14ac:dyDescent="0.15">
      <c r="A16" s="114">
        <f>IF(AND(NOT(MASTERDATA!I16="yes"),NOT(MASTERDATA!K16="yes")),MASTERDATA!L16,"")</f>
        <v>0</v>
      </c>
      <c r="B16" s="49" t="e">
        <f>INDEX(MASTERDATA!$V$3:$V$302,MATCH(ORDER!A16,MASTERDATA!$L$3:$L$302,0))</f>
        <v>#N/A</v>
      </c>
      <c r="C16" s="50" t="e">
        <f>INDEX(MASTERDATA!$W$3:$W$302,MATCH(ORDER!A16,MASTERDATA!$L$3:$L$302,0))</f>
        <v>#N/A</v>
      </c>
      <c r="D16" s="51">
        <f ca="1">DATE(YEAR(BRAND!$B$1),MONTH(BRAND!$B$1)+MASTERDATA!Q16,DAY(1))</f>
        <v>42979</v>
      </c>
      <c r="E16" s="52" t="e">
        <f>INDEX(MASTERDATA!$AF$3:$AF$302,MATCH(ORDER!A16,MASTERDATA!$L$3:$L$302,0))</f>
        <v>#N/A</v>
      </c>
      <c r="F16" s="52" t="e">
        <f>INDEX(MASTERDATA!$AH$3:$AH$302,MATCH(ORDER!A16,MASTERDATA!$L$3:$L$302,0))</f>
        <v>#N/A</v>
      </c>
      <c r="G16" s="76"/>
      <c r="H16" s="113">
        <f t="shared" si="0"/>
        <v>0</v>
      </c>
      <c r="I16" s="79" t="str">
        <f ca="1">IFERROR(VLOOKUP(A16&amp;"New PO-Net QTY",BRAND!$F$5:$X$825,MATCH(ORDER!D16,BRAND!$G$5:$X$5,0)+1,0),"")</f>
        <v/>
      </c>
      <c r="J16" s="53">
        <f t="shared" ca="1" si="1"/>
        <v>0</v>
      </c>
      <c r="K16" s="53">
        <f t="shared" ca="1" si="2"/>
        <v>0</v>
      </c>
      <c r="L16" s="54" t="e">
        <f ca="1">J16*INDEX(MASTERDATA!$AA$3:$AA$302,MATCH(ORDER!A16,MASTERDATA!$L$3:$L$302,0))</f>
        <v>#N/A</v>
      </c>
      <c r="M16" s="55">
        <f ca="1">IFERROR(INDEX(MASTERDATA!$AC$3:$AC$302,MATCH(ORDER!A16,MASTERDATA!$L$3:$L$302,0))*I16,0)</f>
        <v>0</v>
      </c>
      <c r="N16" s="56"/>
      <c r="O16" s="115">
        <f t="shared" si="3"/>
        <v>0</v>
      </c>
      <c r="P16" s="57" t="e">
        <f>INDEX(MASTERDATA!$M$3:$M$302,MATCH(ORDER!A16,MASTERDATA!$L$3:$L$302,0))</f>
        <v>#N/A</v>
      </c>
      <c r="Q16" s="58" t="e">
        <f>INDEX(MASTERDATA!$N$3:$N$302,MATCH(ORDER!A16,MASTERDATA!$L$3:$L$302,0))</f>
        <v>#N/A</v>
      </c>
      <c r="R16" s="57" t="str">
        <f t="shared" si="4"/>
        <v/>
      </c>
      <c r="S16" s="59"/>
      <c r="T16" s="59"/>
      <c r="U16" s="57" t="e">
        <f>INDEX(MASTERDATA!$AA$3:$AA$302,MATCH(ORDER!A16,MASTERDATA!$L$3:$L$302,0))*S16</f>
        <v>#N/A</v>
      </c>
      <c r="V16" s="60">
        <f>IFERROR(INDEX(MASTERDATA!$AC$3:$AC$302,MATCH(ORDER!A16,MASTERDATA!$L$3:$L$302,0))*R16,0)</f>
        <v>0</v>
      </c>
      <c r="W16" s="112" t="str">
        <f ca="1">IF(ISNUMBER(I16),VLOOKUP(A16&amp;"DSI End Period",BRAND!$F$5:$X$815,MATCH(D16,BRAND!$G$5:$X$5)+1,0),"")</f>
        <v/>
      </c>
      <c r="X16" s="61"/>
      <c r="Y16" s="62">
        <f>MASTERDATA!R16</f>
        <v>0</v>
      </c>
      <c r="Z16" s="63" t="e">
        <f>INDEX(MASTERDATA!$S$3:$S$302,MATCH(ORDER!A16,MASTERDATA!$L$3:$L$302,0))</f>
        <v>#N/A</v>
      </c>
      <c r="AA16" s="63" t="e">
        <f>INDEX(MASTERDATA!$U$3:$U$302,MATCH(ORDER!A16,MASTERDATA!$L$3:$L$302,0))</f>
        <v>#N/A</v>
      </c>
      <c r="AB16" s="62" t="e">
        <f>INDEX(MASTERDATA!$H$3:$H$302,MATCH(ORDER!A16,MASTERDATA!$L$3:$L$302,0))</f>
        <v>#N/A</v>
      </c>
      <c r="AC16" s="64"/>
      <c r="AD16" s="29"/>
      <c r="AE16" s="65"/>
      <c r="AF16" s="65"/>
      <c r="AG16" s="65"/>
      <c r="AH16" s="65"/>
      <c r="AI16" s="65"/>
      <c r="AJ16" s="65"/>
      <c r="AK16" s="65"/>
      <c r="AL16" s="65"/>
      <c r="AM16" s="65"/>
    </row>
    <row r="17" spans="1:39" ht="15.75" hidden="1" x14ac:dyDescent="0.15">
      <c r="A17" s="114">
        <f>IF(AND(NOT(MASTERDATA!I17="yes"),NOT(MASTERDATA!K17="yes")),MASTERDATA!L17,"")</f>
        <v>0</v>
      </c>
      <c r="B17" s="49" t="e">
        <f>INDEX(MASTERDATA!$V$3:$V$302,MATCH(ORDER!A17,MASTERDATA!$L$3:$L$302,0))</f>
        <v>#N/A</v>
      </c>
      <c r="C17" s="50" t="e">
        <f>INDEX(MASTERDATA!$W$3:$W$302,MATCH(ORDER!A17,MASTERDATA!$L$3:$L$302,0))</f>
        <v>#N/A</v>
      </c>
      <c r="D17" s="51">
        <f ca="1">DATE(YEAR(BRAND!$B$1),MONTH(BRAND!$B$1)+MASTERDATA!Q17,DAY(1))</f>
        <v>42979</v>
      </c>
      <c r="E17" s="52" t="e">
        <f>INDEX(MASTERDATA!$AF$3:$AF$302,MATCH(ORDER!A17,MASTERDATA!$L$3:$L$302,0))</f>
        <v>#N/A</v>
      </c>
      <c r="F17" s="52" t="e">
        <f>INDEX(MASTERDATA!$AH$3:$AH$302,MATCH(ORDER!A17,MASTERDATA!$L$3:$L$302,0))</f>
        <v>#N/A</v>
      </c>
      <c r="G17" s="76"/>
      <c r="H17" s="113">
        <f t="shared" si="0"/>
        <v>0</v>
      </c>
      <c r="I17" s="79" t="str">
        <f ca="1">IFERROR(VLOOKUP(A17&amp;"New PO-Net QTY",BRAND!$F$5:$X$825,MATCH(ORDER!D17,BRAND!$G$5:$X$5,0)+1,0),"")</f>
        <v/>
      </c>
      <c r="J17" s="53">
        <f t="shared" ca="1" si="1"/>
        <v>0</v>
      </c>
      <c r="K17" s="53">
        <f t="shared" ca="1" si="2"/>
        <v>0</v>
      </c>
      <c r="L17" s="54" t="e">
        <f ca="1">J17*INDEX(MASTERDATA!$AA$3:$AA$302,MATCH(ORDER!A17,MASTERDATA!$L$3:$L$302,0))</f>
        <v>#N/A</v>
      </c>
      <c r="M17" s="55">
        <f ca="1">IFERROR(INDEX(MASTERDATA!$AC$3:$AC$302,MATCH(ORDER!A17,MASTERDATA!$L$3:$L$302,0))*I17,0)</f>
        <v>0</v>
      </c>
      <c r="N17" s="56"/>
      <c r="O17" s="115">
        <f t="shared" si="3"/>
        <v>0</v>
      </c>
      <c r="P17" s="57" t="e">
        <f>INDEX(MASTERDATA!$M$3:$M$302,MATCH(ORDER!A17,MASTERDATA!$L$3:$L$302,0))</f>
        <v>#N/A</v>
      </c>
      <c r="Q17" s="58" t="e">
        <f>INDEX(MASTERDATA!$N$3:$N$302,MATCH(ORDER!A17,MASTERDATA!$L$3:$L$302,0))</f>
        <v>#N/A</v>
      </c>
      <c r="R17" s="57" t="str">
        <f t="shared" si="4"/>
        <v/>
      </c>
      <c r="S17" s="59"/>
      <c r="T17" s="59"/>
      <c r="U17" s="57" t="e">
        <f>INDEX(MASTERDATA!$AA$3:$AA$302,MATCH(ORDER!A17,MASTERDATA!$L$3:$L$302,0))*S17</f>
        <v>#N/A</v>
      </c>
      <c r="V17" s="60">
        <f>IFERROR(INDEX(MASTERDATA!$AC$3:$AC$302,MATCH(ORDER!A17,MASTERDATA!$L$3:$L$302,0))*R17,0)</f>
        <v>0</v>
      </c>
      <c r="W17" s="112" t="str">
        <f ca="1">IF(ISNUMBER(I17),VLOOKUP(A17&amp;"DSI End Period",BRAND!$F$5:$X$815,MATCH(D17,BRAND!$G$5:$X$5)+1,0),"")</f>
        <v/>
      </c>
      <c r="X17" s="61"/>
      <c r="Y17" s="62">
        <f>MASTERDATA!R17</f>
        <v>0</v>
      </c>
      <c r="Z17" s="63" t="e">
        <f>INDEX(MASTERDATA!$S$3:$S$302,MATCH(ORDER!A17,MASTERDATA!$L$3:$L$302,0))</f>
        <v>#N/A</v>
      </c>
      <c r="AA17" s="63" t="e">
        <f>INDEX(MASTERDATA!$U$3:$U$302,MATCH(ORDER!A17,MASTERDATA!$L$3:$L$302,0))</f>
        <v>#N/A</v>
      </c>
      <c r="AB17" s="62" t="e">
        <f>INDEX(MASTERDATA!$H$3:$H$302,MATCH(ORDER!A17,MASTERDATA!$L$3:$L$302,0))</f>
        <v>#N/A</v>
      </c>
      <c r="AC17" s="64"/>
      <c r="AD17" s="29"/>
      <c r="AE17" s="65"/>
      <c r="AF17" s="65"/>
      <c r="AG17" s="65"/>
      <c r="AH17" s="65"/>
      <c r="AI17" s="65"/>
      <c r="AJ17" s="65"/>
      <c r="AK17" s="65"/>
      <c r="AL17" s="65"/>
      <c r="AM17" s="65"/>
    </row>
    <row r="18" spans="1:39" ht="15.75" x14ac:dyDescent="0.3">
      <c r="A18" s="114">
        <f>IF(AND(NOT(MASTERDATA!I18="yes"),NOT(MASTERDATA!K18="yes")),MASTERDATA!L18,"")</f>
        <v>0</v>
      </c>
      <c r="B18" s="49" t="e">
        <f>INDEX(MASTERDATA!$V$3:$V$302,MATCH(ORDER!A18,MASTERDATA!$L$3:$L$302,0))</f>
        <v>#N/A</v>
      </c>
      <c r="C18" s="50" t="e">
        <f>INDEX(MASTERDATA!$W$3:$W$302,MATCH(ORDER!A18,MASTERDATA!$L$3:$L$302,0))</f>
        <v>#N/A</v>
      </c>
      <c r="D18" s="51">
        <f ca="1">DATE(YEAR(BRAND!$B$1),MONTH(BRAND!$B$1)+MASTERDATA!Q18,DAY(1))</f>
        <v>42979</v>
      </c>
      <c r="E18" s="52" t="e">
        <f>INDEX(MASTERDATA!$AF$3:$AF$302,MATCH(ORDER!A18,MASTERDATA!$L$3:$L$302,0))</f>
        <v>#N/A</v>
      </c>
      <c r="F18" s="52" t="e">
        <f>INDEX(MASTERDATA!$AH$3:$AH$302,MATCH(ORDER!A18,MASTERDATA!$L$3:$L$302,0))</f>
        <v>#N/A</v>
      </c>
      <c r="G18" s="76"/>
      <c r="H18" s="113">
        <f t="shared" si="0"/>
        <v>0</v>
      </c>
      <c r="I18" s="79" t="str">
        <f ca="1">IFERROR(VLOOKUP(A18&amp;"New PO-Net QTY",BRAND!$F$5:$X$825,MATCH(ORDER!D18,BRAND!$G$5:$X$5,0)+1,0),"")</f>
        <v/>
      </c>
      <c r="J18" s="53">
        <f t="shared" ca="1" si="1"/>
        <v>0</v>
      </c>
      <c r="K18" s="53">
        <f t="shared" ca="1" si="2"/>
        <v>0</v>
      </c>
      <c r="L18" s="54" t="e">
        <f ca="1">J18*INDEX(MASTERDATA!$AA$3:$AA$302,MATCH(ORDER!A18,MASTERDATA!$L$3:$L$302,0))</f>
        <v>#N/A</v>
      </c>
      <c r="M18" s="55">
        <f ca="1">IFERROR(INDEX(MASTERDATA!$AC$3:$AC$302,MATCH(ORDER!A18,MASTERDATA!$L$3:$L$302,0))*I18,0)</f>
        <v>0</v>
      </c>
      <c r="N18" s="56"/>
      <c r="O18" s="115">
        <f t="shared" si="3"/>
        <v>0</v>
      </c>
      <c r="P18" s="57" t="e">
        <f>INDEX(MASTERDATA!$M$3:$M$302,MATCH(ORDER!A18,MASTERDATA!$L$3:$L$302,0))</f>
        <v>#N/A</v>
      </c>
      <c r="Q18" s="58" t="e">
        <f>INDEX(MASTERDATA!$N$3:$N$302,MATCH(ORDER!A18,MASTERDATA!$L$3:$L$302,0))</f>
        <v>#N/A</v>
      </c>
      <c r="R18" s="57" t="str">
        <f t="shared" si="4"/>
        <v/>
      </c>
      <c r="S18" s="59"/>
      <c r="T18" s="59"/>
      <c r="U18" s="57" t="e">
        <f>INDEX(MASTERDATA!$AA$3:$AA$302,MATCH(ORDER!A18,MASTERDATA!$L$3:$L$302,0))*S18</f>
        <v>#N/A</v>
      </c>
      <c r="V18" s="60">
        <f>IFERROR(INDEX(MASTERDATA!$AC$3:$AC$302,MATCH(ORDER!A18,MASTERDATA!$L$3:$L$302,0))*R18,0)</f>
        <v>0</v>
      </c>
      <c r="W18" s="112" t="str">
        <f ca="1">IF(ISNUMBER(I18),VLOOKUP(A18&amp;"DSI End Period",BRAND!$F$5:$X$815,MATCH(D18,BRAND!$G$5:$X$5)+1,0),"")</f>
        <v/>
      </c>
      <c r="X18" s="61"/>
      <c r="Y18" s="62">
        <f>MASTERDATA!R18</f>
        <v>0</v>
      </c>
      <c r="Z18" s="63" t="e">
        <f>INDEX(MASTERDATA!$S$3:$S$302,MATCH(ORDER!A18,MASTERDATA!$L$3:$L$302,0))</f>
        <v>#N/A</v>
      </c>
      <c r="AA18" s="63" t="e">
        <f>INDEX(MASTERDATA!$U$3:$U$302,MATCH(ORDER!A18,MASTERDATA!$L$3:$L$302,0))</f>
        <v>#N/A</v>
      </c>
      <c r="AB18" s="62" t="e">
        <f>INDEX(MASTERDATA!$H$3:$H$302,MATCH(ORDER!A18,MASTERDATA!$L$3:$L$302,0))</f>
        <v>#N/A</v>
      </c>
    </row>
    <row r="19" spans="1:39" ht="15.75" hidden="1" x14ac:dyDescent="0.3">
      <c r="A19" s="114">
        <f>IF(AND(NOT(MASTERDATA!I19="yes"),NOT(MASTERDATA!K19="yes")),MASTERDATA!L19,"")</f>
        <v>0</v>
      </c>
      <c r="B19" s="49" t="e">
        <f>INDEX(MASTERDATA!$V$3:$V$302,MATCH(ORDER!A19,MASTERDATA!$L$3:$L$302,0))</f>
        <v>#N/A</v>
      </c>
      <c r="C19" s="50" t="e">
        <f>INDEX(MASTERDATA!$W$3:$W$302,MATCH(ORDER!A19,MASTERDATA!$L$3:$L$302,0))</f>
        <v>#N/A</v>
      </c>
      <c r="D19" s="51">
        <f ca="1">DATE(YEAR(BRAND!$B$1),MONTH(BRAND!$B$1)+MASTERDATA!Q19,DAY(1))</f>
        <v>42979</v>
      </c>
      <c r="E19" s="52" t="e">
        <f>INDEX(MASTERDATA!$AF$3:$AF$302,MATCH(ORDER!A19,MASTERDATA!$L$3:$L$302,0))</f>
        <v>#N/A</v>
      </c>
      <c r="F19" s="52" t="e">
        <f>INDEX(MASTERDATA!$AH$3:$AH$302,MATCH(ORDER!A19,MASTERDATA!$L$3:$L$302,0))</f>
        <v>#N/A</v>
      </c>
      <c r="G19" s="76"/>
      <c r="H19" s="113">
        <f t="shared" si="0"/>
        <v>0</v>
      </c>
      <c r="I19" s="79" t="str">
        <f ca="1">IFERROR(VLOOKUP(A19&amp;"New PO-Net QTY",BRAND!$F$5:$X$825,MATCH(ORDER!D19,BRAND!$G$5:$X$5,0)+1,0),"")</f>
        <v/>
      </c>
      <c r="J19" s="53">
        <f t="shared" ca="1" si="1"/>
        <v>0</v>
      </c>
      <c r="K19" s="53">
        <f t="shared" ca="1" si="2"/>
        <v>0</v>
      </c>
      <c r="L19" s="54" t="e">
        <f ca="1">J19*INDEX(MASTERDATA!$AA$3:$AA$302,MATCH(ORDER!A19,MASTERDATA!$L$3:$L$302,0))</f>
        <v>#N/A</v>
      </c>
      <c r="M19" s="55">
        <f ca="1">IFERROR(INDEX(MASTERDATA!$AC$3:$AC$302,MATCH(ORDER!A19,MASTERDATA!$L$3:$L$302,0))*I19,0)</f>
        <v>0</v>
      </c>
      <c r="N19" s="56"/>
      <c r="O19" s="115">
        <f t="shared" si="3"/>
        <v>0</v>
      </c>
      <c r="P19" s="57" t="e">
        <f>INDEX(MASTERDATA!$M$3:$M$302,MATCH(ORDER!A19,MASTERDATA!$L$3:$L$302,0))</f>
        <v>#N/A</v>
      </c>
      <c r="Q19" s="58" t="e">
        <f>INDEX(MASTERDATA!$N$3:$N$302,MATCH(ORDER!A19,MASTERDATA!$L$3:$L$302,0))</f>
        <v>#N/A</v>
      </c>
      <c r="R19" s="57" t="str">
        <f t="shared" si="4"/>
        <v/>
      </c>
      <c r="S19" s="59"/>
      <c r="T19" s="59"/>
      <c r="U19" s="57" t="e">
        <f>INDEX(MASTERDATA!$AA$3:$AA$302,MATCH(ORDER!A19,MASTERDATA!$L$3:$L$302,0))*S19</f>
        <v>#N/A</v>
      </c>
      <c r="V19" s="60">
        <f>IFERROR(INDEX(MASTERDATA!$AC$3:$AC$302,MATCH(ORDER!A19,MASTERDATA!$L$3:$L$302,0))*R19,0)</f>
        <v>0</v>
      </c>
      <c r="W19" s="112" t="str">
        <f ca="1">IF(ISNUMBER(I19),VLOOKUP(A19&amp;"DSI End Period",BRAND!$F$5:$X$815,MATCH(D19,BRAND!$G$5:$X$5)+1,0),"")</f>
        <v/>
      </c>
      <c r="X19" s="61"/>
      <c r="Y19" s="62">
        <f>MASTERDATA!R19</f>
        <v>0</v>
      </c>
      <c r="Z19" s="63" t="e">
        <f>INDEX(MASTERDATA!$S$3:$S$302,MATCH(ORDER!A19,MASTERDATA!$L$3:$L$302,0))</f>
        <v>#N/A</v>
      </c>
      <c r="AA19" s="63" t="e">
        <f>INDEX(MASTERDATA!$U$3:$U$302,MATCH(ORDER!A19,MASTERDATA!$L$3:$L$302,0))</f>
        <v>#N/A</v>
      </c>
      <c r="AB19" s="62" t="e">
        <f>INDEX(MASTERDATA!$H$3:$H$302,MATCH(ORDER!A19,MASTERDATA!$L$3:$L$302,0))</f>
        <v>#N/A</v>
      </c>
      <c r="AC19" s="64"/>
      <c r="AD19" s="29"/>
      <c r="AE19" s="65"/>
      <c r="AF19" s="65"/>
      <c r="AG19" s="65"/>
      <c r="AH19" s="65"/>
      <c r="AI19" s="65"/>
      <c r="AJ19" s="65"/>
      <c r="AK19" s="65"/>
      <c r="AL19" s="65"/>
      <c r="AM19" s="65"/>
    </row>
    <row r="20" spans="1:39" ht="15.75" hidden="1" x14ac:dyDescent="0.15">
      <c r="A20" s="114">
        <f>IF(AND(NOT(MASTERDATA!I20="yes"),NOT(MASTERDATA!K20="yes")),MASTERDATA!L20,"")</f>
        <v>0</v>
      </c>
      <c r="B20" s="49" t="e">
        <f>INDEX(MASTERDATA!$V$3:$V$302,MATCH(ORDER!A20,MASTERDATA!$L$3:$L$302,0))</f>
        <v>#N/A</v>
      </c>
      <c r="C20" s="50" t="e">
        <f>INDEX(MASTERDATA!$W$3:$W$302,MATCH(ORDER!A20,MASTERDATA!$L$3:$L$302,0))</f>
        <v>#N/A</v>
      </c>
      <c r="D20" s="51">
        <f ca="1">DATE(YEAR(BRAND!$B$1),MONTH(BRAND!$B$1)+MASTERDATA!Q20,DAY(1))</f>
        <v>42979</v>
      </c>
      <c r="E20" s="52" t="e">
        <f>INDEX(MASTERDATA!$AF$3:$AF$302,MATCH(ORDER!A20,MASTERDATA!$L$3:$L$302,0))</f>
        <v>#N/A</v>
      </c>
      <c r="F20" s="52" t="e">
        <f>INDEX(MASTERDATA!$AH$3:$AH$302,MATCH(ORDER!A20,MASTERDATA!$L$3:$L$302,0))</f>
        <v>#N/A</v>
      </c>
      <c r="G20" s="76"/>
      <c r="H20" s="113">
        <f t="shared" si="0"/>
        <v>0</v>
      </c>
      <c r="I20" s="79" t="str">
        <f ca="1">IFERROR(VLOOKUP(A20&amp;"New PO-Net QTY",BRAND!$F$5:$X$825,MATCH(ORDER!D20,BRAND!$G$5:$X$5,0)+1,0),"")</f>
        <v/>
      </c>
      <c r="J20" s="53">
        <f t="shared" ca="1" si="1"/>
        <v>0</v>
      </c>
      <c r="K20" s="53">
        <f t="shared" ca="1" si="2"/>
        <v>0</v>
      </c>
      <c r="L20" s="54" t="e">
        <f ca="1">J20*INDEX(MASTERDATA!$AA$3:$AA$302,MATCH(ORDER!A20,MASTERDATA!$L$3:$L$302,0))</f>
        <v>#N/A</v>
      </c>
      <c r="M20" s="55">
        <f ca="1">IFERROR(INDEX(MASTERDATA!$AC$3:$AC$302,MATCH(ORDER!A20,MASTERDATA!$L$3:$L$302,0))*I20,0)</f>
        <v>0</v>
      </c>
      <c r="N20" s="56"/>
      <c r="O20" s="115">
        <f t="shared" si="3"/>
        <v>0</v>
      </c>
      <c r="P20" s="57" t="e">
        <f>INDEX(MASTERDATA!$M$3:$M$302,MATCH(ORDER!A20,MASTERDATA!$L$3:$L$302,0))</f>
        <v>#N/A</v>
      </c>
      <c r="Q20" s="58" t="e">
        <f>INDEX(MASTERDATA!$N$3:$N$302,MATCH(ORDER!A20,MASTERDATA!$L$3:$L$302,0))</f>
        <v>#N/A</v>
      </c>
      <c r="R20" s="57" t="str">
        <f t="shared" si="4"/>
        <v/>
      </c>
      <c r="S20" s="59"/>
      <c r="T20" s="59"/>
      <c r="U20" s="57" t="e">
        <f>INDEX(MASTERDATA!$AA$3:$AA$302,MATCH(ORDER!A20,MASTERDATA!$L$3:$L$302,0))*S20</f>
        <v>#N/A</v>
      </c>
      <c r="V20" s="60">
        <f>IFERROR(INDEX(MASTERDATA!$AC$3:$AC$302,MATCH(ORDER!A20,MASTERDATA!$L$3:$L$302,0))*R20,0)</f>
        <v>0</v>
      </c>
      <c r="W20" s="112" t="str">
        <f ca="1">IF(ISNUMBER(I20),VLOOKUP(A20&amp;"DSI End Period",BRAND!$F$5:$X$815,MATCH(D20,BRAND!$G$5:$X$5)+1,0),"")</f>
        <v/>
      </c>
      <c r="X20" s="61"/>
      <c r="Y20" s="62">
        <f>MASTERDATA!R20</f>
        <v>0</v>
      </c>
      <c r="Z20" s="63" t="e">
        <f>INDEX(MASTERDATA!$S$3:$S$302,MATCH(ORDER!A20,MASTERDATA!$L$3:$L$302,0))</f>
        <v>#N/A</v>
      </c>
      <c r="AA20" s="63" t="e">
        <f>INDEX(MASTERDATA!$U$3:$U$302,MATCH(ORDER!A20,MASTERDATA!$L$3:$L$302,0))</f>
        <v>#N/A</v>
      </c>
      <c r="AB20" s="62" t="e">
        <f>INDEX(MASTERDATA!$H$3:$H$302,MATCH(ORDER!A20,MASTERDATA!$L$3:$L$302,0))</f>
        <v>#N/A</v>
      </c>
      <c r="AC20" s="64"/>
      <c r="AD20" s="29"/>
      <c r="AE20" s="65"/>
      <c r="AF20" s="65"/>
      <c r="AG20" s="65"/>
      <c r="AH20" s="65"/>
      <c r="AI20" s="65"/>
      <c r="AJ20" s="65"/>
      <c r="AK20" s="65"/>
      <c r="AL20" s="65"/>
      <c r="AM20" s="65"/>
    </row>
    <row r="21" spans="1:39" ht="15.75" hidden="1" x14ac:dyDescent="0.15">
      <c r="A21" s="114">
        <f>IF(AND(NOT(MASTERDATA!I21="yes"),NOT(MASTERDATA!K21="yes")),MASTERDATA!L21,"")</f>
        <v>0</v>
      </c>
      <c r="B21" s="49" t="e">
        <f>INDEX(MASTERDATA!$V$3:$V$302,MATCH(ORDER!A21,MASTERDATA!$L$3:$L$302,0))</f>
        <v>#N/A</v>
      </c>
      <c r="C21" s="50" t="e">
        <f>INDEX(MASTERDATA!$W$3:$W$302,MATCH(ORDER!A21,MASTERDATA!$L$3:$L$302,0))</f>
        <v>#N/A</v>
      </c>
      <c r="D21" s="51">
        <f ca="1">DATE(YEAR(BRAND!$B$1),MONTH(BRAND!$B$1)+MASTERDATA!Q21,DAY(1))</f>
        <v>42979</v>
      </c>
      <c r="E21" s="52" t="e">
        <f>INDEX(MASTERDATA!$AF$3:$AF$302,MATCH(ORDER!A21,MASTERDATA!$L$3:$L$302,0))</f>
        <v>#N/A</v>
      </c>
      <c r="F21" s="52" t="e">
        <f>INDEX(MASTERDATA!$AH$3:$AH$302,MATCH(ORDER!A21,MASTERDATA!$L$3:$L$302,0))</f>
        <v>#N/A</v>
      </c>
      <c r="G21" s="76"/>
      <c r="H21" s="113">
        <f t="shared" si="0"/>
        <v>0</v>
      </c>
      <c r="I21" s="79" t="str">
        <f ca="1">IFERROR(VLOOKUP(A21&amp;"New PO-Net QTY",BRAND!$F$5:$X$825,MATCH(ORDER!D21,BRAND!$G$5:$X$5,0)+1,0),"")</f>
        <v/>
      </c>
      <c r="J21" s="53">
        <f t="shared" ca="1" si="1"/>
        <v>0</v>
      </c>
      <c r="K21" s="53">
        <f t="shared" ca="1" si="2"/>
        <v>0</v>
      </c>
      <c r="L21" s="54" t="e">
        <f ca="1">J21*INDEX(MASTERDATA!$AA$3:$AA$302,MATCH(ORDER!A21,MASTERDATA!$L$3:$L$302,0))</f>
        <v>#N/A</v>
      </c>
      <c r="M21" s="55">
        <f ca="1">IFERROR(INDEX(MASTERDATA!$AC$3:$AC$302,MATCH(ORDER!A21,MASTERDATA!$L$3:$L$302,0))*I21,0)</f>
        <v>0</v>
      </c>
      <c r="N21" s="56"/>
      <c r="O21" s="115">
        <f t="shared" si="3"/>
        <v>0</v>
      </c>
      <c r="P21" s="57" t="e">
        <f>INDEX(MASTERDATA!$M$3:$M$302,MATCH(ORDER!A21,MASTERDATA!$L$3:$L$302,0))</f>
        <v>#N/A</v>
      </c>
      <c r="Q21" s="58" t="e">
        <f>INDEX(MASTERDATA!$N$3:$N$302,MATCH(ORDER!A21,MASTERDATA!$L$3:$L$302,0))</f>
        <v>#N/A</v>
      </c>
      <c r="R21" s="57" t="str">
        <f t="shared" si="4"/>
        <v/>
      </c>
      <c r="S21" s="59"/>
      <c r="T21" s="59"/>
      <c r="U21" s="57" t="e">
        <f>INDEX(MASTERDATA!$AA$3:$AA$302,MATCH(ORDER!A21,MASTERDATA!$L$3:$L$302,0))*S21</f>
        <v>#N/A</v>
      </c>
      <c r="V21" s="60">
        <f>IFERROR(INDEX(MASTERDATA!$AC$3:$AC$302,MATCH(ORDER!A21,MASTERDATA!$L$3:$L$302,0))*R21,0)</f>
        <v>0</v>
      </c>
      <c r="W21" s="112" t="str">
        <f ca="1">IF(ISNUMBER(I21),VLOOKUP(A21&amp;"DSI End Period",BRAND!$F$5:$X$815,MATCH(D21,BRAND!$G$5:$X$5)+1,0),"")</f>
        <v/>
      </c>
      <c r="X21" s="61"/>
      <c r="Y21" s="62">
        <f>MASTERDATA!R21</f>
        <v>0</v>
      </c>
      <c r="Z21" s="63" t="e">
        <f>INDEX(MASTERDATA!$S$3:$S$302,MATCH(ORDER!A21,MASTERDATA!$L$3:$L$302,0))</f>
        <v>#N/A</v>
      </c>
      <c r="AA21" s="63" t="e">
        <f>INDEX(MASTERDATA!$U$3:$U$302,MATCH(ORDER!A21,MASTERDATA!$L$3:$L$302,0))</f>
        <v>#N/A</v>
      </c>
      <c r="AB21" s="62" t="e">
        <f>INDEX(MASTERDATA!$H$3:$H$302,MATCH(ORDER!A21,MASTERDATA!$L$3:$L$302,0))</f>
        <v>#N/A</v>
      </c>
      <c r="AC21" s="64"/>
      <c r="AD21" s="29"/>
      <c r="AE21" s="65"/>
      <c r="AF21" s="65"/>
      <c r="AG21" s="65"/>
      <c r="AH21" s="65"/>
      <c r="AI21" s="65"/>
      <c r="AJ21" s="65"/>
      <c r="AK21" s="65"/>
      <c r="AL21" s="65"/>
      <c r="AM21" s="65"/>
    </row>
    <row r="22" spans="1:39" ht="15.75" x14ac:dyDescent="0.3">
      <c r="A22" s="114">
        <f>IF(AND(NOT(MASTERDATA!I22="yes"),NOT(MASTERDATA!K22="yes")),MASTERDATA!L22,"")</f>
        <v>0</v>
      </c>
      <c r="B22" s="49" t="e">
        <f>INDEX(MASTERDATA!$V$3:$V$302,MATCH(ORDER!A22,MASTERDATA!$L$3:$L$302,0))</f>
        <v>#N/A</v>
      </c>
      <c r="C22" s="50" t="e">
        <f>INDEX(MASTERDATA!$W$3:$W$302,MATCH(ORDER!A22,MASTERDATA!$L$3:$L$302,0))</f>
        <v>#N/A</v>
      </c>
      <c r="D22" s="51">
        <f ca="1">DATE(YEAR(BRAND!$B$1),MONTH(BRAND!$B$1)+MASTERDATA!Q22,DAY(1))</f>
        <v>42979</v>
      </c>
      <c r="E22" s="52" t="e">
        <f>INDEX(MASTERDATA!$AF$3:$AF$302,MATCH(ORDER!A22,MASTERDATA!$L$3:$L$302,0))</f>
        <v>#N/A</v>
      </c>
      <c r="F22" s="52" t="e">
        <f>INDEX(MASTERDATA!$AH$3:$AH$302,MATCH(ORDER!A22,MASTERDATA!$L$3:$L$302,0))</f>
        <v>#N/A</v>
      </c>
      <c r="G22" s="76"/>
      <c r="H22" s="113">
        <f t="shared" si="0"/>
        <v>0</v>
      </c>
      <c r="I22" s="79" t="str">
        <f ca="1">IFERROR(VLOOKUP(A22&amp;"New PO-Net QTY",BRAND!$F$5:$X$825,MATCH(ORDER!D22,BRAND!$G$5:$X$5,0)+1,0),"")</f>
        <v/>
      </c>
      <c r="J22" s="53">
        <f t="shared" ca="1" si="1"/>
        <v>0</v>
      </c>
      <c r="K22" s="53">
        <f t="shared" ca="1" si="2"/>
        <v>0</v>
      </c>
      <c r="L22" s="54" t="e">
        <f ca="1">J22*INDEX(MASTERDATA!$AA$3:$AA$302,MATCH(ORDER!A22,MASTERDATA!$L$3:$L$302,0))</f>
        <v>#N/A</v>
      </c>
      <c r="M22" s="55">
        <f ca="1">IFERROR(INDEX(MASTERDATA!$AC$3:$AC$302,MATCH(ORDER!A22,MASTERDATA!$L$3:$L$302,0))*I22,0)</f>
        <v>0</v>
      </c>
      <c r="N22" s="56"/>
      <c r="O22" s="115">
        <f t="shared" si="3"/>
        <v>0</v>
      </c>
      <c r="P22" s="57" t="e">
        <f>INDEX(MASTERDATA!$M$3:$M$302,MATCH(ORDER!A22,MASTERDATA!$L$3:$L$302,0))</f>
        <v>#N/A</v>
      </c>
      <c r="Q22" s="58" t="e">
        <f>INDEX(MASTERDATA!$N$3:$N$302,MATCH(ORDER!A22,MASTERDATA!$L$3:$L$302,0))</f>
        <v>#N/A</v>
      </c>
      <c r="R22" s="57" t="str">
        <f t="shared" si="4"/>
        <v/>
      </c>
      <c r="S22" s="59"/>
      <c r="T22" s="59"/>
      <c r="U22" s="57" t="e">
        <f>INDEX(MASTERDATA!$AA$3:$AA$302,MATCH(ORDER!A22,MASTERDATA!$L$3:$L$302,0))*S22</f>
        <v>#N/A</v>
      </c>
      <c r="V22" s="60">
        <f>IFERROR(INDEX(MASTERDATA!$AC$3:$AC$302,MATCH(ORDER!A22,MASTERDATA!$L$3:$L$302,0))*R22,0)</f>
        <v>0</v>
      </c>
      <c r="W22" s="112" t="str">
        <f ca="1">IF(ISNUMBER(I22),VLOOKUP(A22&amp;"DSI End Period",BRAND!$F$5:$X$815,MATCH(D22,BRAND!$G$5:$X$5)+1,0),"")</f>
        <v/>
      </c>
      <c r="X22" s="61"/>
      <c r="Y22" s="62">
        <f>MASTERDATA!R22</f>
        <v>0</v>
      </c>
      <c r="Z22" s="63" t="e">
        <f>INDEX(MASTERDATA!$S$3:$S$302,MATCH(ORDER!A22,MASTERDATA!$L$3:$L$302,0))</f>
        <v>#N/A</v>
      </c>
      <c r="AA22" s="63" t="e">
        <f>INDEX(MASTERDATA!$U$3:$U$302,MATCH(ORDER!A22,MASTERDATA!$L$3:$L$302,0))</f>
        <v>#N/A</v>
      </c>
      <c r="AB22" s="62" t="e">
        <f>INDEX(MASTERDATA!$H$3:$H$302,MATCH(ORDER!A22,MASTERDATA!$L$3:$L$302,0))</f>
        <v>#N/A</v>
      </c>
    </row>
    <row r="23" spans="1:39" ht="15.75" hidden="1" x14ac:dyDescent="0.3">
      <c r="A23" s="114">
        <f>IF(AND(NOT(MASTERDATA!I23="yes"),NOT(MASTERDATA!K23="yes")),MASTERDATA!L23,"")</f>
        <v>0</v>
      </c>
      <c r="B23" s="49" t="e">
        <f>INDEX(MASTERDATA!$V$3:$V$302,MATCH(ORDER!A23,MASTERDATA!$L$3:$L$302,0))</f>
        <v>#N/A</v>
      </c>
      <c r="C23" s="50" t="e">
        <f>INDEX(MASTERDATA!$W$3:$W$302,MATCH(ORDER!A23,MASTERDATA!$L$3:$L$302,0))</f>
        <v>#N/A</v>
      </c>
      <c r="D23" s="51">
        <f ca="1">DATE(YEAR(BRAND!$B$1),MONTH(BRAND!$B$1)+MASTERDATA!Q23,DAY(1))</f>
        <v>42979</v>
      </c>
      <c r="E23" s="52" t="e">
        <f>INDEX(MASTERDATA!$AF$3:$AF$302,MATCH(ORDER!A23,MASTERDATA!$L$3:$L$302,0))</f>
        <v>#N/A</v>
      </c>
      <c r="F23" s="52" t="e">
        <f>INDEX(MASTERDATA!$AH$3:$AH$302,MATCH(ORDER!A23,MASTERDATA!$L$3:$L$302,0))</f>
        <v>#N/A</v>
      </c>
      <c r="G23" s="76"/>
      <c r="H23" s="113">
        <f t="shared" si="0"/>
        <v>0</v>
      </c>
      <c r="I23" s="79" t="str">
        <f ca="1">IFERROR(VLOOKUP(A23&amp;"New PO-Net QTY",BRAND!$F$5:$X$825,MATCH(ORDER!D23,BRAND!$G$5:$X$5,0)+1,0),"")</f>
        <v/>
      </c>
      <c r="J23" s="53">
        <f t="shared" ca="1" si="1"/>
        <v>0</v>
      </c>
      <c r="K23" s="53">
        <f t="shared" ca="1" si="2"/>
        <v>0</v>
      </c>
      <c r="L23" s="54" t="e">
        <f ca="1">J23*INDEX(MASTERDATA!$AA$3:$AA$302,MATCH(ORDER!A23,MASTERDATA!$L$3:$L$302,0))</f>
        <v>#N/A</v>
      </c>
      <c r="M23" s="55">
        <f ca="1">IFERROR(INDEX(MASTERDATA!$AC$3:$AC$302,MATCH(ORDER!A23,MASTERDATA!$L$3:$L$302,0))*I23,0)</f>
        <v>0</v>
      </c>
      <c r="N23" s="56"/>
      <c r="O23" s="115">
        <f t="shared" si="3"/>
        <v>0</v>
      </c>
      <c r="P23" s="57" t="e">
        <f>INDEX(MASTERDATA!$M$3:$M$302,MATCH(ORDER!A23,MASTERDATA!$L$3:$L$302,0))</f>
        <v>#N/A</v>
      </c>
      <c r="Q23" s="58" t="e">
        <f>INDEX(MASTERDATA!$N$3:$N$302,MATCH(ORDER!A23,MASTERDATA!$L$3:$L$302,0))</f>
        <v>#N/A</v>
      </c>
      <c r="R23" s="57" t="str">
        <f t="shared" si="4"/>
        <v/>
      </c>
      <c r="S23" s="59"/>
      <c r="T23" s="59"/>
      <c r="U23" s="57" t="e">
        <f>INDEX(MASTERDATA!$AA$3:$AA$302,MATCH(ORDER!A23,MASTERDATA!$L$3:$L$302,0))*S23</f>
        <v>#N/A</v>
      </c>
      <c r="V23" s="60">
        <f>IFERROR(INDEX(MASTERDATA!$AC$3:$AC$302,MATCH(ORDER!A23,MASTERDATA!$L$3:$L$302,0))*R23,0)</f>
        <v>0</v>
      </c>
      <c r="W23" s="112" t="str">
        <f ca="1">IF(ISNUMBER(I23),VLOOKUP(A23&amp;"DSI End Period",BRAND!$F$5:$X$815,MATCH(D23,BRAND!$G$5:$X$5)+1,0),"")</f>
        <v/>
      </c>
      <c r="X23" s="61"/>
      <c r="Y23" s="62">
        <f>MASTERDATA!R23</f>
        <v>0</v>
      </c>
      <c r="Z23" s="63" t="e">
        <f>INDEX(MASTERDATA!$S$3:$S$302,MATCH(ORDER!A23,MASTERDATA!$L$3:$L$302,0))</f>
        <v>#N/A</v>
      </c>
      <c r="AA23" s="63" t="e">
        <f>INDEX(MASTERDATA!$U$3:$U$302,MATCH(ORDER!A23,MASTERDATA!$L$3:$L$302,0))</f>
        <v>#N/A</v>
      </c>
      <c r="AB23" s="62" t="e">
        <f>INDEX(MASTERDATA!$H$3:$H$302,MATCH(ORDER!A23,MASTERDATA!$L$3:$L$302,0))</f>
        <v>#N/A</v>
      </c>
      <c r="AC23" s="64"/>
      <c r="AD23" s="29"/>
      <c r="AE23" s="65"/>
      <c r="AF23" s="65"/>
      <c r="AG23" s="65"/>
      <c r="AH23" s="65"/>
      <c r="AI23" s="65"/>
      <c r="AJ23" s="65"/>
      <c r="AK23" s="65"/>
      <c r="AL23" s="65"/>
      <c r="AM23" s="65"/>
    </row>
    <row r="24" spans="1:39" ht="15.75" hidden="1" x14ac:dyDescent="0.15">
      <c r="A24" s="114">
        <f>IF(AND(NOT(MASTERDATA!I24="yes"),NOT(MASTERDATA!K24="yes")),MASTERDATA!L24,"")</f>
        <v>0</v>
      </c>
      <c r="B24" s="49" t="e">
        <f>INDEX(MASTERDATA!$V$3:$V$302,MATCH(ORDER!A24,MASTERDATA!$L$3:$L$302,0))</f>
        <v>#N/A</v>
      </c>
      <c r="C24" s="50" t="e">
        <f>INDEX(MASTERDATA!$W$3:$W$302,MATCH(ORDER!A24,MASTERDATA!$L$3:$L$302,0))</f>
        <v>#N/A</v>
      </c>
      <c r="D24" s="51">
        <f ca="1">DATE(YEAR(BRAND!$B$1),MONTH(BRAND!$B$1)+MASTERDATA!Q24,DAY(1))</f>
        <v>42979</v>
      </c>
      <c r="E24" s="52" t="e">
        <f>INDEX(MASTERDATA!$AF$3:$AF$302,MATCH(ORDER!A24,MASTERDATA!$L$3:$L$302,0))</f>
        <v>#N/A</v>
      </c>
      <c r="F24" s="52" t="e">
        <f>INDEX(MASTERDATA!$AH$3:$AH$302,MATCH(ORDER!A24,MASTERDATA!$L$3:$L$302,0))</f>
        <v>#N/A</v>
      </c>
      <c r="G24" s="76"/>
      <c r="H24" s="113">
        <f t="shared" si="0"/>
        <v>0</v>
      </c>
      <c r="I24" s="79" t="str">
        <f ca="1">IFERROR(VLOOKUP(A24&amp;"New PO-Net QTY",BRAND!$F$5:$X$825,MATCH(ORDER!D24,BRAND!$G$5:$X$5,0)+1,0),"")</f>
        <v/>
      </c>
      <c r="J24" s="53">
        <f t="shared" ca="1" si="1"/>
        <v>0</v>
      </c>
      <c r="K24" s="53">
        <f t="shared" ca="1" si="2"/>
        <v>0</v>
      </c>
      <c r="L24" s="54" t="e">
        <f ca="1">J24*INDEX(MASTERDATA!$AA$3:$AA$302,MATCH(ORDER!A24,MASTERDATA!$L$3:$L$302,0))</f>
        <v>#N/A</v>
      </c>
      <c r="M24" s="55">
        <f ca="1">IFERROR(INDEX(MASTERDATA!$AC$3:$AC$302,MATCH(ORDER!A24,MASTERDATA!$L$3:$L$302,0))*I24,0)</f>
        <v>0</v>
      </c>
      <c r="N24" s="56"/>
      <c r="O24" s="115">
        <f t="shared" si="3"/>
        <v>0</v>
      </c>
      <c r="P24" s="57" t="e">
        <f>INDEX(MASTERDATA!$M$3:$M$302,MATCH(ORDER!A24,MASTERDATA!$L$3:$L$302,0))</f>
        <v>#N/A</v>
      </c>
      <c r="Q24" s="58" t="e">
        <f>INDEX(MASTERDATA!$N$3:$N$302,MATCH(ORDER!A24,MASTERDATA!$L$3:$L$302,0))</f>
        <v>#N/A</v>
      </c>
      <c r="R24" s="57" t="str">
        <f t="shared" si="4"/>
        <v/>
      </c>
      <c r="S24" s="59"/>
      <c r="T24" s="59"/>
      <c r="U24" s="57" t="e">
        <f>INDEX(MASTERDATA!$AA$3:$AA$302,MATCH(ORDER!A24,MASTERDATA!$L$3:$L$302,0))*S24</f>
        <v>#N/A</v>
      </c>
      <c r="V24" s="60">
        <f>IFERROR(INDEX(MASTERDATA!$AC$3:$AC$302,MATCH(ORDER!A24,MASTERDATA!$L$3:$L$302,0))*R24,0)</f>
        <v>0</v>
      </c>
      <c r="W24" s="112" t="str">
        <f ca="1">IF(ISNUMBER(I24),VLOOKUP(A24&amp;"DSI End Period",BRAND!$F$5:$X$815,MATCH(D24,BRAND!$G$5:$X$5)+1,0),"")</f>
        <v/>
      </c>
      <c r="X24" s="61"/>
      <c r="Y24" s="62">
        <f>MASTERDATA!R24</f>
        <v>0</v>
      </c>
      <c r="Z24" s="63" t="e">
        <f>INDEX(MASTERDATA!$S$3:$S$302,MATCH(ORDER!A24,MASTERDATA!$L$3:$L$302,0))</f>
        <v>#N/A</v>
      </c>
      <c r="AA24" s="63" t="e">
        <f>INDEX(MASTERDATA!$U$3:$U$302,MATCH(ORDER!A24,MASTERDATA!$L$3:$L$302,0))</f>
        <v>#N/A</v>
      </c>
      <c r="AB24" s="62" t="e">
        <f>INDEX(MASTERDATA!$H$3:$H$302,MATCH(ORDER!A24,MASTERDATA!$L$3:$L$302,0))</f>
        <v>#N/A</v>
      </c>
      <c r="AC24" s="64"/>
      <c r="AD24" s="29"/>
      <c r="AE24" s="65"/>
      <c r="AF24" s="65"/>
      <c r="AG24" s="65"/>
      <c r="AH24" s="65"/>
      <c r="AI24" s="65"/>
      <c r="AJ24" s="65"/>
      <c r="AK24" s="65"/>
      <c r="AL24" s="65"/>
      <c r="AM24" s="65"/>
    </row>
    <row r="25" spans="1:39" ht="15.75" x14ac:dyDescent="0.3">
      <c r="A25" s="114">
        <f>IF(AND(NOT(MASTERDATA!I25="yes"),NOT(MASTERDATA!K25="yes")),MASTERDATA!L25,"")</f>
        <v>0</v>
      </c>
      <c r="B25" s="49" t="e">
        <f>INDEX(MASTERDATA!$V$3:$V$302,MATCH(ORDER!A25,MASTERDATA!$L$3:$L$302,0))</f>
        <v>#N/A</v>
      </c>
      <c r="C25" s="50" t="e">
        <f>INDEX(MASTERDATA!$W$3:$W$302,MATCH(ORDER!A25,MASTERDATA!$L$3:$L$302,0))</f>
        <v>#N/A</v>
      </c>
      <c r="D25" s="51">
        <f ca="1">DATE(YEAR(BRAND!$B$1),MONTH(BRAND!$B$1)+MASTERDATA!Q25,DAY(1))</f>
        <v>42979</v>
      </c>
      <c r="E25" s="52" t="e">
        <f>INDEX(MASTERDATA!$AF$3:$AF$302,MATCH(ORDER!A25,MASTERDATA!$L$3:$L$302,0))</f>
        <v>#N/A</v>
      </c>
      <c r="F25" s="52" t="e">
        <f>INDEX(MASTERDATA!$AH$3:$AH$302,MATCH(ORDER!A25,MASTERDATA!$L$3:$L$302,0))</f>
        <v>#N/A</v>
      </c>
      <c r="G25" s="76"/>
      <c r="H25" s="113">
        <f t="shared" si="0"/>
        <v>0</v>
      </c>
      <c r="I25" s="79" t="str">
        <f ca="1">IFERROR(VLOOKUP(A25&amp;"New PO-Net QTY",BRAND!$F$5:$X$825,MATCH(ORDER!D25,BRAND!$G$5:$X$5,0)+1,0),"")</f>
        <v/>
      </c>
      <c r="J25" s="53">
        <f t="shared" ca="1" si="1"/>
        <v>0</v>
      </c>
      <c r="K25" s="53">
        <f t="shared" ca="1" si="2"/>
        <v>0</v>
      </c>
      <c r="L25" s="54" t="e">
        <f ca="1">J25*INDEX(MASTERDATA!$AA$3:$AA$302,MATCH(ORDER!A25,MASTERDATA!$L$3:$L$302,0))</f>
        <v>#N/A</v>
      </c>
      <c r="M25" s="55">
        <f ca="1">IFERROR(INDEX(MASTERDATA!$AC$3:$AC$302,MATCH(ORDER!A25,MASTERDATA!$L$3:$L$302,0))*I25,0)</f>
        <v>0</v>
      </c>
      <c r="N25" s="56"/>
      <c r="O25" s="115">
        <f t="shared" si="3"/>
        <v>0</v>
      </c>
      <c r="P25" s="57" t="e">
        <f>INDEX(MASTERDATA!$M$3:$M$302,MATCH(ORDER!A25,MASTERDATA!$L$3:$L$302,0))</f>
        <v>#N/A</v>
      </c>
      <c r="Q25" s="58" t="e">
        <f>INDEX(MASTERDATA!$N$3:$N$302,MATCH(ORDER!A25,MASTERDATA!$L$3:$L$302,0))</f>
        <v>#N/A</v>
      </c>
      <c r="R25" s="57" t="str">
        <f t="shared" si="4"/>
        <v/>
      </c>
      <c r="S25" s="59"/>
      <c r="T25" s="59"/>
      <c r="U25" s="57" t="e">
        <f>INDEX(MASTERDATA!$AA$3:$AA$302,MATCH(ORDER!A25,MASTERDATA!$L$3:$L$302,0))*S25</f>
        <v>#N/A</v>
      </c>
      <c r="V25" s="60">
        <f>IFERROR(INDEX(MASTERDATA!$AC$3:$AC$302,MATCH(ORDER!A25,MASTERDATA!$L$3:$L$302,0))*R25,0)</f>
        <v>0</v>
      </c>
      <c r="W25" s="112" t="str">
        <f ca="1">IF(ISNUMBER(I25),VLOOKUP(A25&amp;"DSI End Period",BRAND!$F$5:$X$815,MATCH(D25,BRAND!$G$5:$X$5)+1,0),"")</f>
        <v/>
      </c>
      <c r="X25" s="61"/>
      <c r="Y25" s="62">
        <f>MASTERDATA!R25</f>
        <v>0</v>
      </c>
      <c r="Z25" s="63" t="e">
        <f>INDEX(MASTERDATA!$S$3:$S$302,MATCH(ORDER!A25,MASTERDATA!$L$3:$L$302,0))</f>
        <v>#N/A</v>
      </c>
      <c r="AA25" s="63" t="e">
        <f>INDEX(MASTERDATA!$U$3:$U$302,MATCH(ORDER!A25,MASTERDATA!$L$3:$L$302,0))</f>
        <v>#N/A</v>
      </c>
      <c r="AB25" s="62" t="e">
        <f>INDEX(MASTERDATA!$H$3:$H$302,MATCH(ORDER!A25,MASTERDATA!$L$3:$L$302,0))</f>
        <v>#N/A</v>
      </c>
    </row>
    <row r="26" spans="1:39" ht="15.75" hidden="1" x14ac:dyDescent="0.3">
      <c r="A26" s="114">
        <f>IF(AND(NOT(MASTERDATA!I26="yes"),NOT(MASTERDATA!K26="yes")),MASTERDATA!L26,"")</f>
        <v>0</v>
      </c>
      <c r="B26" s="49" t="e">
        <f>INDEX(MASTERDATA!$V$3:$V$302,MATCH(ORDER!A26,MASTERDATA!$L$3:$L$302,0))</f>
        <v>#N/A</v>
      </c>
      <c r="C26" s="50" t="e">
        <f>INDEX(MASTERDATA!$W$3:$W$302,MATCH(ORDER!A26,MASTERDATA!$L$3:$L$302,0))</f>
        <v>#N/A</v>
      </c>
      <c r="D26" s="51">
        <f ca="1">DATE(YEAR(BRAND!$B$1),MONTH(BRAND!$B$1)+MASTERDATA!Q26,DAY(1))</f>
        <v>42979</v>
      </c>
      <c r="E26" s="52" t="e">
        <f>INDEX(MASTERDATA!$AF$3:$AF$302,MATCH(ORDER!A26,MASTERDATA!$L$3:$L$302,0))</f>
        <v>#N/A</v>
      </c>
      <c r="F26" s="52" t="e">
        <f>INDEX(MASTERDATA!$AH$3:$AH$302,MATCH(ORDER!A26,MASTERDATA!$L$3:$L$302,0))</f>
        <v>#N/A</v>
      </c>
      <c r="G26" s="76"/>
      <c r="H26" s="113">
        <f t="shared" si="0"/>
        <v>0</v>
      </c>
      <c r="I26" s="79" t="str">
        <f ca="1">IFERROR(VLOOKUP(A26&amp;"New PO-Net QTY",BRAND!$F$5:$X$825,MATCH(ORDER!D26,BRAND!$G$5:$X$5,0)+1,0),"")</f>
        <v/>
      </c>
      <c r="J26" s="53">
        <f t="shared" ca="1" si="1"/>
        <v>0</v>
      </c>
      <c r="K26" s="53">
        <f t="shared" ca="1" si="2"/>
        <v>0</v>
      </c>
      <c r="L26" s="54" t="e">
        <f ca="1">J26*INDEX(MASTERDATA!$AA$3:$AA$302,MATCH(ORDER!A26,MASTERDATA!$L$3:$L$302,0))</f>
        <v>#N/A</v>
      </c>
      <c r="M26" s="55">
        <f ca="1">IFERROR(INDEX(MASTERDATA!$AC$3:$AC$302,MATCH(ORDER!A26,MASTERDATA!$L$3:$L$302,0))*I26,0)</f>
        <v>0</v>
      </c>
      <c r="N26" s="56"/>
      <c r="O26" s="115">
        <f t="shared" si="3"/>
        <v>0</v>
      </c>
      <c r="P26" s="57" t="e">
        <f>INDEX(MASTERDATA!$M$3:$M$302,MATCH(ORDER!A26,MASTERDATA!$L$3:$L$302,0))</f>
        <v>#N/A</v>
      </c>
      <c r="Q26" s="58" t="e">
        <f>INDEX(MASTERDATA!$N$3:$N$302,MATCH(ORDER!A26,MASTERDATA!$L$3:$L$302,0))</f>
        <v>#N/A</v>
      </c>
      <c r="R26" s="57" t="str">
        <f t="shared" si="4"/>
        <v/>
      </c>
      <c r="S26" s="59"/>
      <c r="T26" s="59"/>
      <c r="U26" s="57" t="e">
        <f>INDEX(MASTERDATA!$AA$3:$AA$302,MATCH(ORDER!A26,MASTERDATA!$L$3:$L$302,0))*S26</f>
        <v>#N/A</v>
      </c>
      <c r="V26" s="60">
        <f>IFERROR(INDEX(MASTERDATA!$AC$3:$AC$302,MATCH(ORDER!A26,MASTERDATA!$L$3:$L$302,0))*R26,0)</f>
        <v>0</v>
      </c>
      <c r="W26" s="112" t="str">
        <f ca="1">IF(ISNUMBER(I26),VLOOKUP(A26&amp;"DSI End Period",BRAND!$F$5:$X$815,MATCH(D26,BRAND!$G$5:$X$5)+1,0),"")</f>
        <v/>
      </c>
      <c r="X26" s="61"/>
      <c r="Y26" s="62">
        <f>MASTERDATA!R26</f>
        <v>0</v>
      </c>
      <c r="Z26" s="63" t="e">
        <f>INDEX(MASTERDATA!$S$3:$S$302,MATCH(ORDER!A26,MASTERDATA!$L$3:$L$302,0))</f>
        <v>#N/A</v>
      </c>
      <c r="AA26" s="63" t="e">
        <f>INDEX(MASTERDATA!$U$3:$U$302,MATCH(ORDER!A26,MASTERDATA!$L$3:$L$302,0))</f>
        <v>#N/A</v>
      </c>
      <c r="AB26" s="62" t="e">
        <f>INDEX(MASTERDATA!$H$3:$H$302,MATCH(ORDER!A26,MASTERDATA!$L$3:$L$302,0))</f>
        <v>#N/A</v>
      </c>
      <c r="AC26" s="64"/>
      <c r="AD26" s="29"/>
      <c r="AE26" s="65"/>
      <c r="AF26" s="65"/>
      <c r="AG26" s="65"/>
      <c r="AH26" s="65"/>
      <c r="AI26" s="65"/>
      <c r="AJ26" s="65"/>
      <c r="AK26" s="65"/>
      <c r="AL26" s="65"/>
      <c r="AM26" s="65"/>
    </row>
    <row r="27" spans="1:39" ht="15.75" hidden="1" x14ac:dyDescent="0.15">
      <c r="A27" s="114">
        <f>IF(AND(NOT(MASTERDATA!I27="yes"),NOT(MASTERDATA!K27="yes")),MASTERDATA!L27,"")</f>
        <v>0</v>
      </c>
      <c r="B27" s="49" t="e">
        <f>INDEX(MASTERDATA!$V$3:$V$302,MATCH(ORDER!A27,MASTERDATA!$L$3:$L$302,0))</f>
        <v>#N/A</v>
      </c>
      <c r="C27" s="50" t="e">
        <f>INDEX(MASTERDATA!$W$3:$W$302,MATCH(ORDER!A27,MASTERDATA!$L$3:$L$302,0))</f>
        <v>#N/A</v>
      </c>
      <c r="D27" s="51">
        <f ca="1">DATE(YEAR(BRAND!$B$1),MONTH(BRAND!$B$1)+MASTERDATA!Q27,DAY(1))</f>
        <v>42979</v>
      </c>
      <c r="E27" s="52" t="e">
        <f>INDEX(MASTERDATA!$AF$3:$AF$302,MATCH(ORDER!A27,MASTERDATA!$L$3:$L$302,0))</f>
        <v>#N/A</v>
      </c>
      <c r="F27" s="52" t="e">
        <f>INDEX(MASTERDATA!$AH$3:$AH$302,MATCH(ORDER!A27,MASTERDATA!$L$3:$L$302,0))</f>
        <v>#N/A</v>
      </c>
      <c r="G27" s="76"/>
      <c r="H27" s="113">
        <f t="shared" si="0"/>
        <v>0</v>
      </c>
      <c r="I27" s="79" t="str">
        <f ca="1">IFERROR(VLOOKUP(A27&amp;"New PO-Net QTY",BRAND!$F$5:$X$825,MATCH(ORDER!D27,BRAND!$G$5:$X$5,0)+1,0),"")</f>
        <v/>
      </c>
      <c r="J27" s="53">
        <f t="shared" ca="1" si="1"/>
        <v>0</v>
      </c>
      <c r="K27" s="53">
        <f t="shared" ca="1" si="2"/>
        <v>0</v>
      </c>
      <c r="L27" s="54" t="e">
        <f ca="1">J27*INDEX(MASTERDATA!$AA$3:$AA$302,MATCH(ORDER!A27,MASTERDATA!$L$3:$L$302,0))</f>
        <v>#N/A</v>
      </c>
      <c r="M27" s="55">
        <f ca="1">IFERROR(INDEX(MASTERDATA!$AC$3:$AC$302,MATCH(ORDER!A27,MASTERDATA!$L$3:$L$302,0))*I27,0)</f>
        <v>0</v>
      </c>
      <c r="N27" s="56"/>
      <c r="O27" s="115">
        <f t="shared" si="3"/>
        <v>0</v>
      </c>
      <c r="P27" s="57" t="e">
        <f>INDEX(MASTERDATA!$M$3:$M$302,MATCH(ORDER!A27,MASTERDATA!$L$3:$L$302,0))</f>
        <v>#N/A</v>
      </c>
      <c r="Q27" s="58" t="e">
        <f>INDEX(MASTERDATA!$N$3:$N$302,MATCH(ORDER!A27,MASTERDATA!$L$3:$L$302,0))</f>
        <v>#N/A</v>
      </c>
      <c r="R27" s="57" t="str">
        <f t="shared" si="4"/>
        <v/>
      </c>
      <c r="S27" s="59"/>
      <c r="T27" s="59"/>
      <c r="U27" s="57" t="e">
        <f>INDEX(MASTERDATA!$AA$3:$AA$302,MATCH(ORDER!A27,MASTERDATA!$L$3:$L$302,0))*S27</f>
        <v>#N/A</v>
      </c>
      <c r="V27" s="60">
        <f>IFERROR(INDEX(MASTERDATA!$AC$3:$AC$302,MATCH(ORDER!A27,MASTERDATA!$L$3:$L$302,0))*R27,0)</f>
        <v>0</v>
      </c>
      <c r="W27" s="112" t="str">
        <f ca="1">IF(ISNUMBER(I27),VLOOKUP(A27&amp;"DSI End Period",BRAND!$F$5:$X$815,MATCH(D27,BRAND!$G$5:$X$5)+1,0),"")</f>
        <v/>
      </c>
      <c r="X27" s="61"/>
      <c r="Y27" s="62">
        <f>MASTERDATA!R27</f>
        <v>0</v>
      </c>
      <c r="Z27" s="63" t="e">
        <f>INDEX(MASTERDATA!$S$3:$S$302,MATCH(ORDER!A27,MASTERDATA!$L$3:$L$302,0))</f>
        <v>#N/A</v>
      </c>
      <c r="AA27" s="63" t="e">
        <f>INDEX(MASTERDATA!$U$3:$U$302,MATCH(ORDER!A27,MASTERDATA!$L$3:$L$302,0))</f>
        <v>#N/A</v>
      </c>
      <c r="AB27" s="62" t="e">
        <f>INDEX(MASTERDATA!$H$3:$H$302,MATCH(ORDER!A27,MASTERDATA!$L$3:$L$302,0))</f>
        <v>#N/A</v>
      </c>
      <c r="AC27" s="64"/>
      <c r="AD27" s="29"/>
      <c r="AE27" s="65"/>
      <c r="AF27" s="65"/>
      <c r="AG27" s="65"/>
      <c r="AH27" s="65"/>
      <c r="AI27" s="65"/>
      <c r="AJ27" s="65"/>
      <c r="AK27" s="65"/>
      <c r="AL27" s="65"/>
      <c r="AM27" s="65"/>
    </row>
    <row r="28" spans="1:39" ht="15.75" hidden="1" x14ac:dyDescent="0.15">
      <c r="A28" s="114">
        <f>IF(AND(NOT(MASTERDATA!I28="yes"),NOT(MASTERDATA!K28="yes")),MASTERDATA!L28,"")</f>
        <v>0</v>
      </c>
      <c r="B28" s="49" t="e">
        <f>INDEX(MASTERDATA!$V$3:$V$302,MATCH(ORDER!A28,MASTERDATA!$L$3:$L$302,0))</f>
        <v>#N/A</v>
      </c>
      <c r="C28" s="50" t="e">
        <f>INDEX(MASTERDATA!$W$3:$W$302,MATCH(ORDER!A28,MASTERDATA!$L$3:$L$302,0))</f>
        <v>#N/A</v>
      </c>
      <c r="D28" s="51">
        <f ca="1">DATE(YEAR(BRAND!$B$1),MONTH(BRAND!$B$1)+MASTERDATA!Q28,DAY(1))</f>
        <v>42979</v>
      </c>
      <c r="E28" s="52" t="e">
        <f>INDEX(MASTERDATA!$AF$3:$AF$302,MATCH(ORDER!A28,MASTERDATA!$L$3:$L$302,0))</f>
        <v>#N/A</v>
      </c>
      <c r="F28" s="52" t="e">
        <f>INDEX(MASTERDATA!$AH$3:$AH$302,MATCH(ORDER!A28,MASTERDATA!$L$3:$L$302,0))</f>
        <v>#N/A</v>
      </c>
      <c r="G28" s="76"/>
      <c r="H28" s="113">
        <f t="shared" si="0"/>
        <v>0</v>
      </c>
      <c r="I28" s="79" t="str">
        <f ca="1">IFERROR(VLOOKUP(A28&amp;"New PO-Net QTY",BRAND!$F$5:$X$825,MATCH(ORDER!D28,BRAND!$G$5:$X$5,0)+1,0),"")</f>
        <v/>
      </c>
      <c r="J28" s="53">
        <f t="shared" ca="1" si="1"/>
        <v>0</v>
      </c>
      <c r="K28" s="53">
        <f t="shared" ca="1" si="2"/>
        <v>0</v>
      </c>
      <c r="L28" s="54" t="e">
        <f ca="1">J28*INDEX(MASTERDATA!$AA$3:$AA$302,MATCH(ORDER!A28,MASTERDATA!$L$3:$L$302,0))</f>
        <v>#N/A</v>
      </c>
      <c r="M28" s="55">
        <f ca="1">IFERROR(INDEX(MASTERDATA!$AC$3:$AC$302,MATCH(ORDER!A28,MASTERDATA!$L$3:$L$302,0))*I28,0)</f>
        <v>0</v>
      </c>
      <c r="N28" s="56"/>
      <c r="O28" s="115">
        <f t="shared" si="3"/>
        <v>0</v>
      </c>
      <c r="P28" s="57" t="e">
        <f>INDEX(MASTERDATA!$M$3:$M$302,MATCH(ORDER!A28,MASTERDATA!$L$3:$L$302,0))</f>
        <v>#N/A</v>
      </c>
      <c r="Q28" s="58" t="e">
        <f>INDEX(MASTERDATA!$N$3:$N$302,MATCH(ORDER!A28,MASTERDATA!$L$3:$L$302,0))</f>
        <v>#N/A</v>
      </c>
      <c r="R28" s="57" t="str">
        <f t="shared" si="4"/>
        <v/>
      </c>
      <c r="S28" s="59"/>
      <c r="T28" s="59"/>
      <c r="U28" s="57" t="e">
        <f>INDEX(MASTERDATA!$AA$3:$AA$302,MATCH(ORDER!A28,MASTERDATA!$L$3:$L$302,0))*S28</f>
        <v>#N/A</v>
      </c>
      <c r="V28" s="60">
        <f>IFERROR(INDEX(MASTERDATA!$AC$3:$AC$302,MATCH(ORDER!A28,MASTERDATA!$L$3:$L$302,0))*R28,0)</f>
        <v>0</v>
      </c>
      <c r="W28" s="112" t="str">
        <f ca="1">IF(ISNUMBER(I28),VLOOKUP(A28&amp;"DSI End Period",BRAND!$F$5:$X$815,MATCH(D28,BRAND!$G$5:$X$5)+1,0),"")</f>
        <v/>
      </c>
      <c r="X28" s="61"/>
      <c r="Y28" s="62">
        <f>MASTERDATA!R28</f>
        <v>0</v>
      </c>
      <c r="Z28" s="63" t="e">
        <f>INDEX(MASTERDATA!$S$3:$S$302,MATCH(ORDER!A28,MASTERDATA!$L$3:$L$302,0))</f>
        <v>#N/A</v>
      </c>
      <c r="AA28" s="63" t="e">
        <f>INDEX(MASTERDATA!$U$3:$U$302,MATCH(ORDER!A28,MASTERDATA!$L$3:$L$302,0))</f>
        <v>#N/A</v>
      </c>
      <c r="AB28" s="62" t="e">
        <f>INDEX(MASTERDATA!$H$3:$H$302,MATCH(ORDER!A28,MASTERDATA!$L$3:$L$302,0))</f>
        <v>#N/A</v>
      </c>
      <c r="AC28" s="64"/>
      <c r="AD28" s="29"/>
      <c r="AE28" s="65"/>
      <c r="AF28" s="65"/>
      <c r="AG28" s="65"/>
      <c r="AH28" s="65"/>
      <c r="AI28" s="65"/>
      <c r="AJ28" s="65"/>
      <c r="AK28" s="65"/>
      <c r="AL28" s="65"/>
      <c r="AM28" s="65"/>
    </row>
    <row r="29" spans="1:39" ht="15.75" x14ac:dyDescent="0.3">
      <c r="A29" s="114">
        <f>IF(AND(NOT(MASTERDATA!I29="yes"),NOT(MASTERDATA!K29="yes")),MASTERDATA!L29,"")</f>
        <v>0</v>
      </c>
      <c r="B29" s="49" t="e">
        <f>INDEX(MASTERDATA!$V$3:$V$302,MATCH(ORDER!A29,MASTERDATA!$L$3:$L$302,0))</f>
        <v>#N/A</v>
      </c>
      <c r="C29" s="50" t="e">
        <f>INDEX(MASTERDATA!$W$3:$W$302,MATCH(ORDER!A29,MASTERDATA!$L$3:$L$302,0))</f>
        <v>#N/A</v>
      </c>
      <c r="D29" s="51">
        <f ca="1">DATE(YEAR(BRAND!$B$1),MONTH(BRAND!$B$1)+MASTERDATA!Q29,DAY(1))</f>
        <v>42979</v>
      </c>
      <c r="E29" s="52" t="e">
        <f>INDEX(MASTERDATA!$AF$3:$AF$302,MATCH(ORDER!A29,MASTERDATA!$L$3:$L$302,0))</f>
        <v>#N/A</v>
      </c>
      <c r="F29" s="52" t="e">
        <f>INDEX(MASTERDATA!$AH$3:$AH$302,MATCH(ORDER!A29,MASTERDATA!$L$3:$L$302,0))</f>
        <v>#N/A</v>
      </c>
      <c r="G29" s="76"/>
      <c r="H29" s="113">
        <f t="shared" si="0"/>
        <v>0</v>
      </c>
      <c r="I29" s="79" t="str">
        <f ca="1">IFERROR(VLOOKUP(A29&amp;"New PO-Net QTY",BRAND!$F$5:$X$825,MATCH(ORDER!D29,BRAND!$G$5:$X$5,0)+1,0),"")</f>
        <v/>
      </c>
      <c r="J29" s="53">
        <f t="shared" ca="1" si="1"/>
        <v>0</v>
      </c>
      <c r="K29" s="53">
        <f t="shared" ca="1" si="2"/>
        <v>0</v>
      </c>
      <c r="L29" s="54" t="e">
        <f ca="1">J29*INDEX(MASTERDATA!$AA$3:$AA$302,MATCH(ORDER!A29,MASTERDATA!$L$3:$L$302,0))</f>
        <v>#N/A</v>
      </c>
      <c r="M29" s="55">
        <f ca="1">IFERROR(INDEX(MASTERDATA!$AC$3:$AC$302,MATCH(ORDER!A29,MASTERDATA!$L$3:$L$302,0))*I29,0)</f>
        <v>0</v>
      </c>
      <c r="N29" s="56"/>
      <c r="O29" s="115">
        <f t="shared" si="3"/>
        <v>0</v>
      </c>
      <c r="P29" s="57" t="e">
        <f>INDEX(MASTERDATA!$M$3:$M$302,MATCH(ORDER!A29,MASTERDATA!$L$3:$L$302,0))</f>
        <v>#N/A</v>
      </c>
      <c r="Q29" s="58" t="e">
        <f>INDEX(MASTERDATA!$N$3:$N$302,MATCH(ORDER!A29,MASTERDATA!$L$3:$L$302,0))</f>
        <v>#N/A</v>
      </c>
      <c r="R29" s="57" t="str">
        <f t="shared" si="4"/>
        <v/>
      </c>
      <c r="S29" s="59"/>
      <c r="T29" s="59"/>
      <c r="U29" s="57" t="e">
        <f>INDEX(MASTERDATA!$AA$3:$AA$302,MATCH(ORDER!A29,MASTERDATA!$L$3:$L$302,0))*S29</f>
        <v>#N/A</v>
      </c>
      <c r="V29" s="60">
        <f>IFERROR(INDEX(MASTERDATA!$AC$3:$AC$302,MATCH(ORDER!A29,MASTERDATA!$L$3:$L$302,0))*R29,0)</f>
        <v>0</v>
      </c>
      <c r="W29" s="112" t="str">
        <f ca="1">IF(ISNUMBER(I29),VLOOKUP(A29&amp;"DSI End Period",BRAND!$F$5:$X$815,MATCH(D29,BRAND!$G$5:$X$5)+1,0),"")</f>
        <v/>
      </c>
      <c r="X29" s="61"/>
      <c r="Y29" s="62">
        <f>MASTERDATA!R29</f>
        <v>0</v>
      </c>
      <c r="Z29" s="63" t="e">
        <f>INDEX(MASTERDATA!$S$3:$S$302,MATCH(ORDER!A29,MASTERDATA!$L$3:$L$302,0))</f>
        <v>#N/A</v>
      </c>
      <c r="AA29" s="63" t="e">
        <f>INDEX(MASTERDATA!$U$3:$U$302,MATCH(ORDER!A29,MASTERDATA!$L$3:$L$302,0))</f>
        <v>#N/A</v>
      </c>
      <c r="AB29" s="62" t="e">
        <f>INDEX(MASTERDATA!$H$3:$H$302,MATCH(ORDER!A29,MASTERDATA!$L$3:$L$302,0))</f>
        <v>#N/A</v>
      </c>
    </row>
    <row r="30" spans="1:39" ht="15.75" hidden="1" x14ac:dyDescent="0.3">
      <c r="A30" s="114">
        <f>IF(AND(NOT(MASTERDATA!I30="yes"),NOT(MASTERDATA!K30="yes")),MASTERDATA!L30,"")</f>
        <v>0</v>
      </c>
      <c r="B30" s="49" t="e">
        <f>INDEX(MASTERDATA!$V$3:$V$302,MATCH(ORDER!A30,MASTERDATA!$L$3:$L$302,0))</f>
        <v>#N/A</v>
      </c>
      <c r="C30" s="50" t="e">
        <f>INDEX(MASTERDATA!$W$3:$W$302,MATCH(ORDER!A30,MASTERDATA!$L$3:$L$302,0))</f>
        <v>#N/A</v>
      </c>
      <c r="D30" s="51">
        <f ca="1">DATE(YEAR(BRAND!$B$1),MONTH(BRAND!$B$1)+MASTERDATA!Q30,DAY(1))</f>
        <v>42979</v>
      </c>
      <c r="E30" s="52" t="e">
        <f>INDEX(MASTERDATA!$AF$3:$AF$302,MATCH(ORDER!A30,MASTERDATA!$L$3:$L$302,0))</f>
        <v>#N/A</v>
      </c>
      <c r="F30" s="52" t="e">
        <f>INDEX(MASTERDATA!$AH$3:$AH$302,MATCH(ORDER!A30,MASTERDATA!$L$3:$L$302,0))</f>
        <v>#N/A</v>
      </c>
      <c r="G30" s="76"/>
      <c r="H30" s="113">
        <f t="shared" si="0"/>
        <v>0</v>
      </c>
      <c r="I30" s="79" t="str">
        <f ca="1">IFERROR(VLOOKUP(A30&amp;"New PO-Net QTY",BRAND!$F$5:$X$825,MATCH(ORDER!D30,BRAND!$G$5:$X$5,0)+1,0),"")</f>
        <v/>
      </c>
      <c r="J30" s="53">
        <f t="shared" ca="1" si="1"/>
        <v>0</v>
      </c>
      <c r="K30" s="53">
        <f t="shared" ca="1" si="2"/>
        <v>0</v>
      </c>
      <c r="L30" s="54" t="e">
        <f ca="1">J30*INDEX(MASTERDATA!$AA$3:$AA$302,MATCH(ORDER!A30,MASTERDATA!$L$3:$L$302,0))</f>
        <v>#N/A</v>
      </c>
      <c r="M30" s="55">
        <f ca="1">IFERROR(INDEX(MASTERDATA!$AC$3:$AC$302,MATCH(ORDER!A30,MASTERDATA!$L$3:$L$302,0))*I30,0)</f>
        <v>0</v>
      </c>
      <c r="N30" s="56"/>
      <c r="O30" s="115">
        <f t="shared" si="3"/>
        <v>0</v>
      </c>
      <c r="P30" s="57" t="e">
        <f>INDEX(MASTERDATA!$M$3:$M$302,MATCH(ORDER!A30,MASTERDATA!$L$3:$L$302,0))</f>
        <v>#N/A</v>
      </c>
      <c r="Q30" s="58" t="e">
        <f>INDEX(MASTERDATA!$N$3:$N$302,MATCH(ORDER!A30,MASTERDATA!$L$3:$L$302,0))</f>
        <v>#N/A</v>
      </c>
      <c r="R30" s="57" t="str">
        <f t="shared" si="4"/>
        <v/>
      </c>
      <c r="S30" s="59"/>
      <c r="T30" s="59"/>
      <c r="U30" s="57" t="e">
        <f>INDEX(MASTERDATA!$AA$3:$AA$302,MATCH(ORDER!A30,MASTERDATA!$L$3:$L$302,0))*S30</f>
        <v>#N/A</v>
      </c>
      <c r="V30" s="60">
        <f>IFERROR(INDEX(MASTERDATA!$AC$3:$AC$302,MATCH(ORDER!A30,MASTERDATA!$L$3:$L$302,0))*R30,0)</f>
        <v>0</v>
      </c>
      <c r="W30" s="112" t="str">
        <f ca="1">IF(ISNUMBER(I30),VLOOKUP(A30&amp;"DSI End Period",BRAND!$F$5:$X$815,MATCH(D30,BRAND!$G$5:$X$5)+1,0),"")</f>
        <v/>
      </c>
      <c r="X30" s="61"/>
      <c r="Y30" s="62">
        <f>MASTERDATA!R30</f>
        <v>0</v>
      </c>
      <c r="Z30" s="63" t="e">
        <f>INDEX(MASTERDATA!$S$3:$S$302,MATCH(ORDER!A30,MASTERDATA!$L$3:$L$302,0))</f>
        <v>#N/A</v>
      </c>
      <c r="AA30" s="63" t="e">
        <f>INDEX(MASTERDATA!$U$3:$U$302,MATCH(ORDER!A30,MASTERDATA!$L$3:$L$302,0))</f>
        <v>#N/A</v>
      </c>
      <c r="AB30" s="62" t="e">
        <f>INDEX(MASTERDATA!$H$3:$H$302,MATCH(ORDER!A30,MASTERDATA!$L$3:$L$302,0))</f>
        <v>#N/A</v>
      </c>
      <c r="AC30" s="64"/>
      <c r="AD30" s="29"/>
      <c r="AE30" s="65"/>
      <c r="AF30" s="65"/>
      <c r="AG30" s="65"/>
      <c r="AH30" s="65"/>
      <c r="AI30" s="65"/>
      <c r="AJ30" s="65"/>
      <c r="AK30" s="65"/>
      <c r="AL30" s="65"/>
      <c r="AM30" s="65"/>
    </row>
    <row r="31" spans="1:39" ht="15.75" hidden="1" x14ac:dyDescent="0.15">
      <c r="A31" s="114">
        <f>IF(AND(NOT(MASTERDATA!I31="yes"),NOT(MASTERDATA!K31="yes")),MASTERDATA!L31,"")</f>
        <v>0</v>
      </c>
      <c r="B31" s="49" t="e">
        <f>INDEX(MASTERDATA!$V$3:$V$302,MATCH(ORDER!A31,MASTERDATA!$L$3:$L$302,0))</f>
        <v>#N/A</v>
      </c>
      <c r="C31" s="50" t="e">
        <f>INDEX(MASTERDATA!$W$3:$W$302,MATCH(ORDER!A31,MASTERDATA!$L$3:$L$302,0))</f>
        <v>#N/A</v>
      </c>
      <c r="D31" s="51">
        <f ca="1">DATE(YEAR(BRAND!$B$1),MONTH(BRAND!$B$1)+MASTERDATA!Q31,DAY(1))</f>
        <v>42979</v>
      </c>
      <c r="E31" s="52" t="e">
        <f>INDEX(MASTERDATA!$AF$3:$AF$302,MATCH(ORDER!A31,MASTERDATA!$L$3:$L$302,0))</f>
        <v>#N/A</v>
      </c>
      <c r="F31" s="52" t="e">
        <f>INDEX(MASTERDATA!$AH$3:$AH$302,MATCH(ORDER!A31,MASTERDATA!$L$3:$L$302,0))</f>
        <v>#N/A</v>
      </c>
      <c r="G31" s="76"/>
      <c r="H31" s="113">
        <f t="shared" si="0"/>
        <v>0</v>
      </c>
      <c r="I31" s="79" t="str">
        <f ca="1">IFERROR(VLOOKUP(A31&amp;"New PO-Net QTY",BRAND!$F$5:$X$825,MATCH(ORDER!D31,BRAND!$G$5:$X$5,0)+1,0),"")</f>
        <v/>
      </c>
      <c r="J31" s="53">
        <f t="shared" ca="1" si="1"/>
        <v>0</v>
      </c>
      <c r="K31" s="53">
        <f t="shared" ca="1" si="2"/>
        <v>0</v>
      </c>
      <c r="L31" s="54" t="e">
        <f ca="1">J31*INDEX(MASTERDATA!$AA$3:$AA$302,MATCH(ORDER!A31,MASTERDATA!$L$3:$L$302,0))</f>
        <v>#N/A</v>
      </c>
      <c r="M31" s="55">
        <f ca="1">IFERROR(INDEX(MASTERDATA!$AC$3:$AC$302,MATCH(ORDER!A31,MASTERDATA!$L$3:$L$302,0))*I31,0)</f>
        <v>0</v>
      </c>
      <c r="N31" s="56"/>
      <c r="O31" s="115">
        <f t="shared" si="3"/>
        <v>0</v>
      </c>
      <c r="P31" s="57" t="e">
        <f>INDEX(MASTERDATA!$M$3:$M$302,MATCH(ORDER!A31,MASTERDATA!$L$3:$L$302,0))</f>
        <v>#N/A</v>
      </c>
      <c r="Q31" s="58" t="e">
        <f>INDEX(MASTERDATA!$N$3:$N$302,MATCH(ORDER!A31,MASTERDATA!$L$3:$L$302,0))</f>
        <v>#N/A</v>
      </c>
      <c r="R31" s="57" t="str">
        <f t="shared" si="4"/>
        <v/>
      </c>
      <c r="S31" s="59"/>
      <c r="T31" s="59"/>
      <c r="U31" s="57" t="e">
        <f>INDEX(MASTERDATA!$AA$3:$AA$302,MATCH(ORDER!A31,MASTERDATA!$L$3:$L$302,0))*S31</f>
        <v>#N/A</v>
      </c>
      <c r="V31" s="60">
        <f>IFERROR(INDEX(MASTERDATA!$AC$3:$AC$302,MATCH(ORDER!A31,MASTERDATA!$L$3:$L$302,0))*R31,0)</f>
        <v>0</v>
      </c>
      <c r="W31" s="112" t="str">
        <f ca="1">IF(ISNUMBER(I31),VLOOKUP(A31&amp;"DSI End Period",BRAND!$F$5:$X$815,MATCH(D31,BRAND!$G$5:$X$5)+1,0),"")</f>
        <v/>
      </c>
      <c r="X31" s="61"/>
      <c r="Y31" s="62">
        <f>MASTERDATA!R31</f>
        <v>0</v>
      </c>
      <c r="Z31" s="63" t="e">
        <f>INDEX(MASTERDATA!$S$3:$S$302,MATCH(ORDER!A31,MASTERDATA!$L$3:$L$302,0))</f>
        <v>#N/A</v>
      </c>
      <c r="AA31" s="63" t="e">
        <f>INDEX(MASTERDATA!$U$3:$U$302,MATCH(ORDER!A31,MASTERDATA!$L$3:$L$302,0))</f>
        <v>#N/A</v>
      </c>
      <c r="AB31" s="62" t="e">
        <f>INDEX(MASTERDATA!$H$3:$H$302,MATCH(ORDER!A31,MASTERDATA!$L$3:$L$302,0))</f>
        <v>#N/A</v>
      </c>
      <c r="AC31" s="64"/>
      <c r="AD31" s="29"/>
      <c r="AE31" s="65"/>
      <c r="AF31" s="65"/>
      <c r="AG31" s="65"/>
      <c r="AH31" s="65"/>
      <c r="AI31" s="65"/>
      <c r="AJ31" s="65"/>
      <c r="AK31" s="65"/>
      <c r="AL31" s="65"/>
      <c r="AM31" s="65"/>
    </row>
    <row r="32" spans="1:39" ht="15.75" x14ac:dyDescent="0.3">
      <c r="A32" s="114">
        <f>IF(AND(NOT(MASTERDATA!I32="yes"),NOT(MASTERDATA!K32="yes")),MASTERDATA!L32,"")</f>
        <v>0</v>
      </c>
      <c r="B32" s="49" t="e">
        <f>INDEX(MASTERDATA!$V$3:$V$302,MATCH(ORDER!A32,MASTERDATA!$L$3:$L$302,0))</f>
        <v>#N/A</v>
      </c>
      <c r="C32" s="50" t="e">
        <f>INDEX(MASTERDATA!$W$3:$W$302,MATCH(ORDER!A32,MASTERDATA!$L$3:$L$302,0))</f>
        <v>#N/A</v>
      </c>
      <c r="D32" s="51">
        <f ca="1">DATE(YEAR(BRAND!$B$1),MONTH(BRAND!$B$1)+MASTERDATA!Q32,DAY(1))</f>
        <v>42979</v>
      </c>
      <c r="E32" s="52" t="e">
        <f>INDEX(MASTERDATA!$AF$3:$AF$302,MATCH(ORDER!A32,MASTERDATA!$L$3:$L$302,0))</f>
        <v>#N/A</v>
      </c>
      <c r="F32" s="52" t="e">
        <f>INDEX(MASTERDATA!$AH$3:$AH$302,MATCH(ORDER!A32,MASTERDATA!$L$3:$L$302,0))</f>
        <v>#N/A</v>
      </c>
      <c r="G32" s="76"/>
      <c r="H32" s="113">
        <f t="shared" si="0"/>
        <v>0</v>
      </c>
      <c r="I32" s="79" t="str">
        <f ca="1">IFERROR(VLOOKUP(A32&amp;"New PO-Net QTY",BRAND!$F$5:$X$825,MATCH(ORDER!D32,BRAND!$G$5:$X$5,0)+1,0),"")</f>
        <v/>
      </c>
      <c r="J32" s="53">
        <f t="shared" ca="1" si="1"/>
        <v>0</v>
      </c>
      <c r="K32" s="53">
        <f t="shared" ca="1" si="2"/>
        <v>0</v>
      </c>
      <c r="L32" s="54" t="e">
        <f ca="1">J32*INDEX(MASTERDATA!$AA$3:$AA$302,MATCH(ORDER!A32,MASTERDATA!$L$3:$L$302,0))</f>
        <v>#N/A</v>
      </c>
      <c r="M32" s="55">
        <f ca="1">IFERROR(INDEX(MASTERDATA!$AC$3:$AC$302,MATCH(ORDER!A32,MASTERDATA!$L$3:$L$302,0))*I32,0)</f>
        <v>0</v>
      </c>
      <c r="N32" s="56"/>
      <c r="O32" s="115">
        <f t="shared" si="3"/>
        <v>0</v>
      </c>
      <c r="P32" s="57" t="e">
        <f>INDEX(MASTERDATA!$M$3:$M$302,MATCH(ORDER!A32,MASTERDATA!$L$3:$L$302,0))</f>
        <v>#N/A</v>
      </c>
      <c r="Q32" s="58" t="e">
        <f>INDEX(MASTERDATA!$N$3:$N$302,MATCH(ORDER!A32,MASTERDATA!$L$3:$L$302,0))</f>
        <v>#N/A</v>
      </c>
      <c r="R32" s="57" t="str">
        <f t="shared" si="4"/>
        <v/>
      </c>
      <c r="S32" s="59"/>
      <c r="T32" s="59"/>
      <c r="U32" s="57" t="e">
        <f>INDEX(MASTERDATA!$AA$3:$AA$302,MATCH(ORDER!A32,MASTERDATA!$L$3:$L$302,0))*S32</f>
        <v>#N/A</v>
      </c>
      <c r="V32" s="60">
        <f>IFERROR(INDEX(MASTERDATA!$AC$3:$AC$302,MATCH(ORDER!A32,MASTERDATA!$L$3:$L$302,0))*R32,0)</f>
        <v>0</v>
      </c>
      <c r="W32" s="112" t="str">
        <f ca="1">IF(ISNUMBER(I32),VLOOKUP(A32&amp;"DSI End Period",BRAND!$F$5:$X$815,MATCH(D32,BRAND!$G$5:$X$5)+1,0),"")</f>
        <v/>
      </c>
      <c r="X32" s="61"/>
      <c r="Y32" s="62">
        <f>MASTERDATA!R32</f>
        <v>0</v>
      </c>
      <c r="Z32" s="63" t="e">
        <f>INDEX(MASTERDATA!$S$3:$S$302,MATCH(ORDER!A32,MASTERDATA!$L$3:$L$302,0))</f>
        <v>#N/A</v>
      </c>
      <c r="AA32" s="63" t="e">
        <f>INDEX(MASTERDATA!$U$3:$U$302,MATCH(ORDER!A32,MASTERDATA!$L$3:$L$302,0))</f>
        <v>#N/A</v>
      </c>
      <c r="AB32" s="62" t="e">
        <f>INDEX(MASTERDATA!$H$3:$H$302,MATCH(ORDER!A32,MASTERDATA!$L$3:$L$302,0))</f>
        <v>#N/A</v>
      </c>
    </row>
    <row r="33" spans="1:39" ht="15.75" hidden="1" x14ac:dyDescent="0.3">
      <c r="A33" s="114">
        <f>IF(AND(NOT(MASTERDATA!I33="yes"),NOT(MASTERDATA!K33="yes")),MASTERDATA!L33,"")</f>
        <v>0</v>
      </c>
      <c r="B33" s="49" t="e">
        <f>INDEX(MASTERDATA!$V$3:$V$302,MATCH(ORDER!A33,MASTERDATA!$L$3:$L$302,0))</f>
        <v>#N/A</v>
      </c>
      <c r="C33" s="50" t="e">
        <f>INDEX(MASTERDATA!$W$3:$W$302,MATCH(ORDER!A33,MASTERDATA!$L$3:$L$302,0))</f>
        <v>#N/A</v>
      </c>
      <c r="D33" s="51">
        <f ca="1">DATE(YEAR(BRAND!$B$1),MONTH(BRAND!$B$1)+MASTERDATA!Q33,DAY(1))</f>
        <v>42979</v>
      </c>
      <c r="E33" s="52" t="e">
        <f>INDEX(MASTERDATA!$AF$3:$AF$302,MATCH(ORDER!A33,MASTERDATA!$L$3:$L$302,0))</f>
        <v>#N/A</v>
      </c>
      <c r="F33" s="52" t="e">
        <f>INDEX(MASTERDATA!$AH$3:$AH$302,MATCH(ORDER!A33,MASTERDATA!$L$3:$L$302,0))</f>
        <v>#N/A</v>
      </c>
      <c r="G33" s="76"/>
      <c r="H33" s="113">
        <f t="shared" ref="H33:H96" si="5">A33</f>
        <v>0</v>
      </c>
      <c r="I33" s="79" t="str">
        <f ca="1">IFERROR(VLOOKUP(A33&amp;"New PO-Net QTY",BRAND!$F$5:$X$825,MATCH(ORDER!D33,BRAND!$G$5:$X$5,0)+1,0),"")</f>
        <v/>
      </c>
      <c r="J33" s="53">
        <f t="shared" ref="J33:J96" ca="1" si="6">IFERROR(I33/B33,0)</f>
        <v>0</v>
      </c>
      <c r="K33" s="53">
        <f t="shared" ref="K33:K96" ca="1" si="7">IFERROR(I33/B33/C33,0)</f>
        <v>0</v>
      </c>
      <c r="L33" s="54" t="e">
        <f ca="1">J33*INDEX(MASTERDATA!$AA$3:$AA$302,MATCH(ORDER!A33,MASTERDATA!$L$3:$L$302,0))</f>
        <v>#N/A</v>
      </c>
      <c r="M33" s="55">
        <f ca="1">IFERROR(INDEX(MASTERDATA!$AC$3:$AC$302,MATCH(ORDER!A33,MASTERDATA!$L$3:$L$302,0))*I33,0)</f>
        <v>0</v>
      </c>
      <c r="N33" s="56"/>
      <c r="O33" s="115">
        <f t="shared" ref="O33:O96" si="8">A33</f>
        <v>0</v>
      </c>
      <c r="P33" s="57" t="e">
        <f>INDEX(MASTERDATA!$M$3:$M$302,MATCH(ORDER!A33,MASTERDATA!$L$3:$L$302,0))</f>
        <v>#N/A</v>
      </c>
      <c r="Q33" s="58" t="e">
        <f>INDEX(MASTERDATA!$N$3:$N$302,MATCH(ORDER!A33,MASTERDATA!$L$3:$L$302,0))</f>
        <v>#N/A</v>
      </c>
      <c r="R33" s="57" t="str">
        <f t="shared" ref="R33:R96" si="9">IF(ISNUMBER(S33),S33*B33,IF(ISNUMBER(T33),T33*C33*B33,""))</f>
        <v/>
      </c>
      <c r="S33" s="59"/>
      <c r="T33" s="59"/>
      <c r="U33" s="57" t="e">
        <f>INDEX(MASTERDATA!$AA$3:$AA$302,MATCH(ORDER!A33,MASTERDATA!$L$3:$L$302,0))*S33</f>
        <v>#N/A</v>
      </c>
      <c r="V33" s="60">
        <f>IFERROR(INDEX(MASTERDATA!$AC$3:$AC$302,MATCH(ORDER!A33,MASTERDATA!$L$3:$L$302,0))*R33,0)</f>
        <v>0</v>
      </c>
      <c r="W33" s="112" t="str">
        <f ca="1">IF(ISNUMBER(I33),VLOOKUP(A33&amp;"DSI End Period",BRAND!$F$5:$X$815,MATCH(D33,BRAND!$G$5:$X$5)+1,0),"")</f>
        <v/>
      </c>
      <c r="X33" s="61"/>
      <c r="Y33" s="62">
        <f>MASTERDATA!R33</f>
        <v>0</v>
      </c>
      <c r="Z33" s="63" t="e">
        <f>INDEX(MASTERDATA!$S$3:$S$302,MATCH(ORDER!A33,MASTERDATA!$L$3:$L$302,0))</f>
        <v>#N/A</v>
      </c>
      <c r="AA33" s="63" t="e">
        <f>INDEX(MASTERDATA!$U$3:$U$302,MATCH(ORDER!A33,MASTERDATA!$L$3:$L$302,0))</f>
        <v>#N/A</v>
      </c>
      <c r="AB33" s="62" t="e">
        <f>INDEX(MASTERDATA!$H$3:$H$302,MATCH(ORDER!A33,MASTERDATA!$L$3:$L$302,0))</f>
        <v>#N/A</v>
      </c>
      <c r="AC33" s="64"/>
      <c r="AD33" s="29"/>
      <c r="AE33" s="65"/>
      <c r="AF33" s="65"/>
      <c r="AG33" s="65"/>
      <c r="AH33" s="65"/>
      <c r="AI33" s="65"/>
      <c r="AJ33" s="65"/>
      <c r="AK33" s="65"/>
      <c r="AL33" s="65"/>
      <c r="AM33" s="65"/>
    </row>
    <row r="34" spans="1:39" ht="15.75" x14ac:dyDescent="0.3">
      <c r="A34" s="114">
        <f>IF(AND(NOT(MASTERDATA!I34="yes"),NOT(MASTERDATA!K34="yes")),MASTERDATA!L34,"")</f>
        <v>0</v>
      </c>
      <c r="B34" s="49" t="e">
        <f>INDEX(MASTERDATA!$V$3:$V$302,MATCH(ORDER!A34,MASTERDATA!$L$3:$L$302,0))</f>
        <v>#N/A</v>
      </c>
      <c r="C34" s="50" t="e">
        <f>INDEX(MASTERDATA!$W$3:$W$302,MATCH(ORDER!A34,MASTERDATA!$L$3:$L$302,0))</f>
        <v>#N/A</v>
      </c>
      <c r="D34" s="51">
        <f ca="1">DATE(YEAR(BRAND!$B$1),MONTH(BRAND!$B$1)+MASTERDATA!Q34,DAY(1))</f>
        <v>42979</v>
      </c>
      <c r="E34" s="52" t="e">
        <f>INDEX(MASTERDATA!$AF$3:$AF$302,MATCH(ORDER!A34,MASTERDATA!$L$3:$L$302,0))</f>
        <v>#N/A</v>
      </c>
      <c r="F34" s="52" t="e">
        <f>INDEX(MASTERDATA!$AH$3:$AH$302,MATCH(ORDER!A34,MASTERDATA!$L$3:$L$302,0))</f>
        <v>#N/A</v>
      </c>
      <c r="G34" s="76"/>
      <c r="H34" s="113">
        <f t="shared" si="5"/>
        <v>0</v>
      </c>
      <c r="I34" s="79" t="str">
        <f ca="1">IFERROR(VLOOKUP(A34&amp;"New PO-Net QTY",BRAND!$F$5:$X$825,MATCH(ORDER!D34,BRAND!$G$5:$X$5,0)+1,0),"")</f>
        <v/>
      </c>
      <c r="J34" s="53">
        <f t="shared" ca="1" si="6"/>
        <v>0</v>
      </c>
      <c r="K34" s="53">
        <f t="shared" ca="1" si="7"/>
        <v>0</v>
      </c>
      <c r="L34" s="54" t="e">
        <f ca="1">J34*INDEX(MASTERDATA!$AA$3:$AA$302,MATCH(ORDER!A34,MASTERDATA!$L$3:$L$302,0))</f>
        <v>#N/A</v>
      </c>
      <c r="M34" s="55">
        <f ca="1">IFERROR(INDEX(MASTERDATA!$AC$3:$AC$302,MATCH(ORDER!A34,MASTERDATA!$L$3:$L$302,0))*I34,0)</f>
        <v>0</v>
      </c>
      <c r="N34" s="56"/>
      <c r="O34" s="115">
        <f t="shared" si="8"/>
        <v>0</v>
      </c>
      <c r="P34" s="57" t="e">
        <f>INDEX(MASTERDATA!$M$3:$M$302,MATCH(ORDER!A34,MASTERDATA!$L$3:$L$302,0))</f>
        <v>#N/A</v>
      </c>
      <c r="Q34" s="58" t="e">
        <f>INDEX(MASTERDATA!$N$3:$N$302,MATCH(ORDER!A34,MASTERDATA!$L$3:$L$302,0))</f>
        <v>#N/A</v>
      </c>
      <c r="R34" s="57" t="str">
        <f t="shared" si="9"/>
        <v/>
      </c>
      <c r="S34" s="59"/>
      <c r="T34" s="59"/>
      <c r="U34" s="57" t="e">
        <f>INDEX(MASTERDATA!$AA$3:$AA$302,MATCH(ORDER!A34,MASTERDATA!$L$3:$L$302,0))*S34</f>
        <v>#N/A</v>
      </c>
      <c r="V34" s="60">
        <f>IFERROR(INDEX(MASTERDATA!$AC$3:$AC$302,MATCH(ORDER!A34,MASTERDATA!$L$3:$L$302,0))*R34,0)</f>
        <v>0</v>
      </c>
      <c r="W34" s="112" t="str">
        <f ca="1">IF(ISNUMBER(I34),VLOOKUP(A34&amp;"DSI End Period",BRAND!$F$5:$X$815,MATCH(D34,BRAND!$G$5:$X$5)+1,0),"")</f>
        <v/>
      </c>
      <c r="X34" s="61"/>
      <c r="Y34" s="62">
        <f>MASTERDATA!R34</f>
        <v>0</v>
      </c>
      <c r="Z34" s="63" t="e">
        <f>INDEX(MASTERDATA!$S$3:$S$302,MATCH(ORDER!A34,MASTERDATA!$L$3:$L$302,0))</f>
        <v>#N/A</v>
      </c>
      <c r="AA34" s="63" t="e">
        <f>INDEX(MASTERDATA!$U$3:$U$302,MATCH(ORDER!A34,MASTERDATA!$L$3:$L$302,0))</f>
        <v>#N/A</v>
      </c>
      <c r="AB34" s="62" t="e">
        <f>INDEX(MASTERDATA!$H$3:$H$302,MATCH(ORDER!A34,MASTERDATA!$L$3:$L$302,0))</f>
        <v>#N/A</v>
      </c>
    </row>
    <row r="35" spans="1:39" ht="15.75" hidden="1" x14ac:dyDescent="0.3">
      <c r="A35" s="114">
        <f>IF(AND(NOT(MASTERDATA!I35="yes"),NOT(MASTERDATA!K35="yes")),MASTERDATA!L35,"")</f>
        <v>0</v>
      </c>
      <c r="B35" s="49" t="e">
        <f>INDEX(MASTERDATA!$V$3:$V$302,MATCH(ORDER!A35,MASTERDATA!$L$3:$L$302,0))</f>
        <v>#N/A</v>
      </c>
      <c r="C35" s="50" t="e">
        <f>INDEX(MASTERDATA!$W$3:$W$302,MATCH(ORDER!A35,MASTERDATA!$L$3:$L$302,0))</f>
        <v>#N/A</v>
      </c>
      <c r="D35" s="51">
        <f ca="1">DATE(YEAR(BRAND!$B$1),MONTH(BRAND!$B$1)+MASTERDATA!Q35,DAY(1))</f>
        <v>42979</v>
      </c>
      <c r="E35" s="52" t="e">
        <f>INDEX(MASTERDATA!$AF$3:$AF$302,MATCH(ORDER!A35,MASTERDATA!$L$3:$L$302,0))</f>
        <v>#N/A</v>
      </c>
      <c r="F35" s="52" t="e">
        <f>INDEX(MASTERDATA!$AH$3:$AH$302,MATCH(ORDER!A35,MASTERDATA!$L$3:$L$302,0))</f>
        <v>#N/A</v>
      </c>
      <c r="G35" s="76"/>
      <c r="H35" s="113">
        <f t="shared" si="5"/>
        <v>0</v>
      </c>
      <c r="I35" s="79" t="str">
        <f ca="1">IFERROR(VLOOKUP(A35&amp;"New PO-Net QTY",BRAND!$F$5:$X$825,MATCH(ORDER!D35,BRAND!$G$5:$X$5,0)+1,0),"")</f>
        <v/>
      </c>
      <c r="J35" s="53">
        <f t="shared" ca="1" si="6"/>
        <v>0</v>
      </c>
      <c r="K35" s="53">
        <f t="shared" ca="1" si="7"/>
        <v>0</v>
      </c>
      <c r="L35" s="54" t="e">
        <f ca="1">J35*INDEX(MASTERDATA!$AA$3:$AA$302,MATCH(ORDER!A35,MASTERDATA!$L$3:$L$302,0))</f>
        <v>#N/A</v>
      </c>
      <c r="M35" s="55">
        <f ca="1">IFERROR(INDEX(MASTERDATA!$AC$3:$AC$302,MATCH(ORDER!A35,MASTERDATA!$L$3:$L$302,0))*I35,0)</f>
        <v>0</v>
      </c>
      <c r="N35" s="56"/>
      <c r="O35" s="115">
        <f t="shared" si="8"/>
        <v>0</v>
      </c>
      <c r="P35" s="57" t="e">
        <f>INDEX(MASTERDATA!$M$3:$M$302,MATCH(ORDER!A35,MASTERDATA!$L$3:$L$302,0))</f>
        <v>#N/A</v>
      </c>
      <c r="Q35" s="58" t="e">
        <f>INDEX(MASTERDATA!$N$3:$N$302,MATCH(ORDER!A35,MASTERDATA!$L$3:$L$302,0))</f>
        <v>#N/A</v>
      </c>
      <c r="R35" s="57" t="str">
        <f t="shared" si="9"/>
        <v/>
      </c>
      <c r="S35" s="59"/>
      <c r="T35" s="59"/>
      <c r="U35" s="57" t="e">
        <f>INDEX(MASTERDATA!$AA$3:$AA$302,MATCH(ORDER!A35,MASTERDATA!$L$3:$L$302,0))*S35</f>
        <v>#N/A</v>
      </c>
      <c r="V35" s="60">
        <f>IFERROR(INDEX(MASTERDATA!$AC$3:$AC$302,MATCH(ORDER!A35,MASTERDATA!$L$3:$L$302,0))*R35,0)</f>
        <v>0</v>
      </c>
      <c r="W35" s="112" t="str">
        <f ca="1">IF(ISNUMBER(I35),VLOOKUP(A35&amp;"DSI End Period",BRAND!$F$5:$X$815,MATCH(D35,BRAND!$G$5:$X$5)+1,0),"")</f>
        <v/>
      </c>
      <c r="X35" s="61"/>
      <c r="Y35" s="62">
        <f>MASTERDATA!R35</f>
        <v>0</v>
      </c>
      <c r="Z35" s="63" t="e">
        <f>INDEX(MASTERDATA!$S$3:$S$302,MATCH(ORDER!A35,MASTERDATA!$L$3:$L$302,0))</f>
        <v>#N/A</v>
      </c>
      <c r="AA35" s="63" t="e">
        <f>INDEX(MASTERDATA!$U$3:$U$302,MATCH(ORDER!A35,MASTERDATA!$L$3:$L$302,0))</f>
        <v>#N/A</v>
      </c>
      <c r="AB35" s="62" t="e">
        <f>INDEX(MASTERDATA!$H$3:$H$302,MATCH(ORDER!A35,MASTERDATA!$L$3:$L$302,0))</f>
        <v>#N/A</v>
      </c>
      <c r="AC35" s="64"/>
      <c r="AD35" s="29"/>
      <c r="AE35" s="65"/>
      <c r="AF35" s="65"/>
      <c r="AG35" s="65"/>
      <c r="AH35" s="65"/>
      <c r="AI35" s="65"/>
      <c r="AJ35" s="65"/>
      <c r="AK35" s="65"/>
      <c r="AL35" s="65"/>
      <c r="AM35" s="65"/>
    </row>
    <row r="36" spans="1:39" ht="15.75" x14ac:dyDescent="0.3">
      <c r="A36" s="114">
        <f>IF(AND(NOT(MASTERDATA!I36="yes"),NOT(MASTERDATA!K36="yes")),MASTERDATA!L36,"")</f>
        <v>0</v>
      </c>
      <c r="B36" s="49" t="e">
        <f>INDEX(MASTERDATA!$V$3:$V$302,MATCH(ORDER!A36,MASTERDATA!$L$3:$L$302,0))</f>
        <v>#N/A</v>
      </c>
      <c r="C36" s="50" t="e">
        <f>INDEX(MASTERDATA!$W$3:$W$302,MATCH(ORDER!A36,MASTERDATA!$L$3:$L$302,0))</f>
        <v>#N/A</v>
      </c>
      <c r="D36" s="51">
        <f ca="1">DATE(YEAR(BRAND!$B$1),MONTH(BRAND!$B$1)+MASTERDATA!Q36,DAY(1))</f>
        <v>42979</v>
      </c>
      <c r="E36" s="52" t="e">
        <f>INDEX(MASTERDATA!$AF$3:$AF$302,MATCH(ORDER!A36,MASTERDATA!$L$3:$L$302,0))</f>
        <v>#N/A</v>
      </c>
      <c r="F36" s="52" t="e">
        <f>INDEX(MASTERDATA!$AH$3:$AH$302,MATCH(ORDER!A36,MASTERDATA!$L$3:$L$302,0))</f>
        <v>#N/A</v>
      </c>
      <c r="G36" s="76"/>
      <c r="H36" s="113">
        <f t="shared" si="5"/>
        <v>0</v>
      </c>
      <c r="I36" s="79" t="str">
        <f ca="1">IFERROR(VLOOKUP(A36&amp;"New PO-Net QTY",BRAND!$F$5:$X$825,MATCH(ORDER!D36,BRAND!$G$5:$X$5,0)+1,0),"")</f>
        <v/>
      </c>
      <c r="J36" s="53">
        <f t="shared" ca="1" si="6"/>
        <v>0</v>
      </c>
      <c r="K36" s="53">
        <f t="shared" ca="1" si="7"/>
        <v>0</v>
      </c>
      <c r="L36" s="54" t="e">
        <f ca="1">J36*INDEX(MASTERDATA!$AA$3:$AA$302,MATCH(ORDER!A36,MASTERDATA!$L$3:$L$302,0))</f>
        <v>#N/A</v>
      </c>
      <c r="M36" s="55">
        <f ca="1">IFERROR(INDEX(MASTERDATA!$AC$3:$AC$302,MATCH(ORDER!A36,MASTERDATA!$L$3:$L$302,0))*I36,0)</f>
        <v>0</v>
      </c>
      <c r="N36" s="56"/>
      <c r="O36" s="115">
        <f t="shared" si="8"/>
        <v>0</v>
      </c>
      <c r="P36" s="57" t="e">
        <f>INDEX(MASTERDATA!$M$3:$M$302,MATCH(ORDER!A36,MASTERDATA!$L$3:$L$302,0))</f>
        <v>#N/A</v>
      </c>
      <c r="Q36" s="58" t="e">
        <f>INDEX(MASTERDATA!$N$3:$N$302,MATCH(ORDER!A36,MASTERDATA!$L$3:$L$302,0))</f>
        <v>#N/A</v>
      </c>
      <c r="R36" s="57" t="str">
        <f t="shared" si="9"/>
        <v/>
      </c>
      <c r="S36" s="59"/>
      <c r="T36" s="59"/>
      <c r="U36" s="57" t="e">
        <f>INDEX(MASTERDATA!$AA$3:$AA$302,MATCH(ORDER!A36,MASTERDATA!$L$3:$L$302,0))*S36</f>
        <v>#N/A</v>
      </c>
      <c r="V36" s="60">
        <f>IFERROR(INDEX(MASTERDATA!$AC$3:$AC$302,MATCH(ORDER!A36,MASTERDATA!$L$3:$L$302,0))*R36,0)</f>
        <v>0</v>
      </c>
      <c r="W36" s="112" t="str">
        <f ca="1">IF(ISNUMBER(I36),VLOOKUP(A36&amp;"DSI End Period",BRAND!$F$5:$X$815,MATCH(D36,BRAND!$G$5:$X$5)+1,0),"")</f>
        <v/>
      </c>
      <c r="X36" s="61"/>
      <c r="Y36" s="62">
        <f>MASTERDATA!R36</f>
        <v>0</v>
      </c>
      <c r="Z36" s="63" t="e">
        <f>INDEX(MASTERDATA!$S$3:$S$302,MATCH(ORDER!A36,MASTERDATA!$L$3:$L$302,0))</f>
        <v>#N/A</v>
      </c>
      <c r="AA36" s="63" t="e">
        <f>INDEX(MASTERDATA!$U$3:$U$302,MATCH(ORDER!A36,MASTERDATA!$L$3:$L$302,0))</f>
        <v>#N/A</v>
      </c>
      <c r="AB36" s="62" t="e">
        <f>INDEX(MASTERDATA!$H$3:$H$302,MATCH(ORDER!A36,MASTERDATA!$L$3:$L$302,0))</f>
        <v>#N/A</v>
      </c>
    </row>
    <row r="37" spans="1:39" ht="15.75" hidden="1" x14ac:dyDescent="0.3">
      <c r="A37" s="114">
        <f>IF(AND(NOT(MASTERDATA!I37="yes"),NOT(MASTERDATA!K37="yes")),MASTERDATA!L37,"")</f>
        <v>0</v>
      </c>
      <c r="B37" s="49" t="e">
        <f>INDEX(MASTERDATA!$V$3:$V$302,MATCH(ORDER!A37,MASTERDATA!$L$3:$L$302,0))</f>
        <v>#N/A</v>
      </c>
      <c r="C37" s="50" t="e">
        <f>INDEX(MASTERDATA!$W$3:$W$302,MATCH(ORDER!A37,MASTERDATA!$L$3:$L$302,0))</f>
        <v>#N/A</v>
      </c>
      <c r="D37" s="51">
        <f ca="1">DATE(YEAR(BRAND!$B$1),MONTH(BRAND!$B$1)+MASTERDATA!Q37,DAY(1))</f>
        <v>42979</v>
      </c>
      <c r="E37" s="52" t="e">
        <f>INDEX(MASTERDATA!$AF$3:$AF$302,MATCH(ORDER!A37,MASTERDATA!$L$3:$L$302,0))</f>
        <v>#N/A</v>
      </c>
      <c r="F37" s="52" t="e">
        <f>INDEX(MASTERDATA!$AH$3:$AH$302,MATCH(ORDER!A37,MASTERDATA!$L$3:$L$302,0))</f>
        <v>#N/A</v>
      </c>
      <c r="G37" s="76"/>
      <c r="H37" s="113">
        <f t="shared" si="5"/>
        <v>0</v>
      </c>
      <c r="I37" s="79" t="str">
        <f ca="1">IFERROR(VLOOKUP(A37&amp;"New PO-Net QTY",BRAND!$F$5:$X$825,MATCH(ORDER!D37,BRAND!$G$5:$X$5,0)+1,0),"")</f>
        <v/>
      </c>
      <c r="J37" s="53">
        <f t="shared" ca="1" si="6"/>
        <v>0</v>
      </c>
      <c r="K37" s="53">
        <f t="shared" ca="1" si="7"/>
        <v>0</v>
      </c>
      <c r="L37" s="54" t="e">
        <f ca="1">J37*INDEX(MASTERDATA!$AA$3:$AA$302,MATCH(ORDER!A37,MASTERDATA!$L$3:$L$302,0))</f>
        <v>#N/A</v>
      </c>
      <c r="M37" s="55">
        <f ca="1">IFERROR(INDEX(MASTERDATA!$AC$3:$AC$302,MATCH(ORDER!A37,MASTERDATA!$L$3:$L$302,0))*I37,0)</f>
        <v>0</v>
      </c>
      <c r="N37" s="56"/>
      <c r="O37" s="115">
        <f t="shared" si="8"/>
        <v>0</v>
      </c>
      <c r="P37" s="57" t="e">
        <f>INDEX(MASTERDATA!$M$3:$M$302,MATCH(ORDER!A37,MASTERDATA!$L$3:$L$302,0))</f>
        <v>#N/A</v>
      </c>
      <c r="Q37" s="58" t="e">
        <f>INDEX(MASTERDATA!$N$3:$N$302,MATCH(ORDER!A37,MASTERDATA!$L$3:$L$302,0))</f>
        <v>#N/A</v>
      </c>
      <c r="R37" s="57" t="str">
        <f t="shared" si="9"/>
        <v/>
      </c>
      <c r="S37" s="59"/>
      <c r="T37" s="59"/>
      <c r="U37" s="57" t="e">
        <f>INDEX(MASTERDATA!$AA$3:$AA$302,MATCH(ORDER!A37,MASTERDATA!$L$3:$L$302,0))*S37</f>
        <v>#N/A</v>
      </c>
      <c r="V37" s="60">
        <f>IFERROR(INDEX(MASTERDATA!$AC$3:$AC$302,MATCH(ORDER!A37,MASTERDATA!$L$3:$L$302,0))*R37,0)</f>
        <v>0</v>
      </c>
      <c r="W37" s="112" t="str">
        <f ca="1">IF(ISNUMBER(I37),VLOOKUP(A37&amp;"DSI End Period",BRAND!$F$5:$X$815,MATCH(D37,BRAND!$G$5:$X$5)+1,0),"")</f>
        <v/>
      </c>
      <c r="X37" s="61"/>
      <c r="Y37" s="62">
        <f>MASTERDATA!R37</f>
        <v>0</v>
      </c>
      <c r="Z37" s="63" t="e">
        <f>INDEX(MASTERDATA!$S$3:$S$302,MATCH(ORDER!A37,MASTERDATA!$L$3:$L$302,0))</f>
        <v>#N/A</v>
      </c>
      <c r="AA37" s="63" t="e">
        <f>INDEX(MASTERDATA!$U$3:$U$302,MATCH(ORDER!A37,MASTERDATA!$L$3:$L$302,0))</f>
        <v>#N/A</v>
      </c>
      <c r="AB37" s="62" t="e">
        <f>INDEX(MASTERDATA!$H$3:$H$302,MATCH(ORDER!A37,MASTERDATA!$L$3:$L$302,0))</f>
        <v>#N/A</v>
      </c>
      <c r="AC37" s="64"/>
      <c r="AD37" s="29"/>
      <c r="AE37" s="65"/>
      <c r="AF37" s="65"/>
      <c r="AG37" s="65"/>
      <c r="AH37" s="65"/>
      <c r="AI37" s="65"/>
      <c r="AJ37" s="65"/>
      <c r="AK37" s="65"/>
      <c r="AL37" s="65"/>
      <c r="AM37" s="65"/>
    </row>
    <row r="38" spans="1:39" ht="15.75" x14ac:dyDescent="0.3">
      <c r="A38" s="114">
        <f>IF(AND(NOT(MASTERDATA!I38="yes"),NOT(MASTERDATA!K38="yes")),MASTERDATA!L38,"")</f>
        <v>0</v>
      </c>
      <c r="B38" s="49" t="e">
        <f>INDEX(MASTERDATA!$V$3:$V$302,MATCH(ORDER!A38,MASTERDATA!$L$3:$L$302,0))</f>
        <v>#N/A</v>
      </c>
      <c r="C38" s="50" t="e">
        <f>INDEX(MASTERDATA!$W$3:$W$302,MATCH(ORDER!A38,MASTERDATA!$L$3:$L$302,0))</f>
        <v>#N/A</v>
      </c>
      <c r="D38" s="51">
        <f ca="1">DATE(YEAR(BRAND!$B$1),MONTH(BRAND!$B$1)+MASTERDATA!Q38,DAY(1))</f>
        <v>42979</v>
      </c>
      <c r="E38" s="52" t="e">
        <f>INDEX(MASTERDATA!$AF$3:$AF$302,MATCH(ORDER!A38,MASTERDATA!$L$3:$L$302,0))</f>
        <v>#N/A</v>
      </c>
      <c r="F38" s="52" t="e">
        <f>INDEX(MASTERDATA!$AH$3:$AH$302,MATCH(ORDER!A38,MASTERDATA!$L$3:$L$302,0))</f>
        <v>#N/A</v>
      </c>
      <c r="G38" s="76"/>
      <c r="H38" s="113">
        <f t="shared" si="5"/>
        <v>0</v>
      </c>
      <c r="I38" s="79" t="str">
        <f ca="1">IFERROR(VLOOKUP(A38&amp;"New PO-Net QTY",BRAND!$F$5:$X$825,MATCH(ORDER!D38,BRAND!$G$5:$X$5,0)+1,0),"")</f>
        <v/>
      </c>
      <c r="J38" s="53">
        <f t="shared" ca="1" si="6"/>
        <v>0</v>
      </c>
      <c r="K38" s="53">
        <f t="shared" ca="1" si="7"/>
        <v>0</v>
      </c>
      <c r="L38" s="54" t="e">
        <f ca="1">J38*INDEX(MASTERDATA!$AA$3:$AA$302,MATCH(ORDER!A38,MASTERDATA!$L$3:$L$302,0))</f>
        <v>#N/A</v>
      </c>
      <c r="M38" s="55">
        <f ca="1">IFERROR(INDEX(MASTERDATA!$AC$3:$AC$302,MATCH(ORDER!A38,MASTERDATA!$L$3:$L$302,0))*I38,0)</f>
        <v>0</v>
      </c>
      <c r="N38" s="56"/>
      <c r="O38" s="115">
        <f t="shared" si="8"/>
        <v>0</v>
      </c>
      <c r="P38" s="57" t="e">
        <f>INDEX(MASTERDATA!$M$3:$M$302,MATCH(ORDER!A38,MASTERDATA!$L$3:$L$302,0))</f>
        <v>#N/A</v>
      </c>
      <c r="Q38" s="58" t="e">
        <f>INDEX(MASTERDATA!$N$3:$N$302,MATCH(ORDER!A38,MASTERDATA!$L$3:$L$302,0))</f>
        <v>#N/A</v>
      </c>
      <c r="R38" s="57" t="str">
        <f t="shared" si="9"/>
        <v/>
      </c>
      <c r="S38" s="59"/>
      <c r="T38" s="59"/>
      <c r="U38" s="57" t="e">
        <f>INDEX(MASTERDATA!$AA$3:$AA$302,MATCH(ORDER!A38,MASTERDATA!$L$3:$L$302,0))*S38</f>
        <v>#N/A</v>
      </c>
      <c r="V38" s="60">
        <f>IFERROR(INDEX(MASTERDATA!$AC$3:$AC$302,MATCH(ORDER!A38,MASTERDATA!$L$3:$L$302,0))*R38,0)</f>
        <v>0</v>
      </c>
      <c r="W38" s="112" t="str">
        <f ca="1">IF(ISNUMBER(I38),VLOOKUP(A38&amp;"DSI End Period",BRAND!$F$5:$X$815,MATCH(D38,BRAND!$G$5:$X$5)+1,0),"")</f>
        <v/>
      </c>
      <c r="X38" s="61"/>
      <c r="Y38" s="62">
        <f>MASTERDATA!R38</f>
        <v>0</v>
      </c>
      <c r="Z38" s="63" t="e">
        <f>INDEX(MASTERDATA!$S$3:$S$302,MATCH(ORDER!A38,MASTERDATA!$L$3:$L$302,0))</f>
        <v>#N/A</v>
      </c>
      <c r="AA38" s="63" t="e">
        <f>INDEX(MASTERDATA!$U$3:$U$302,MATCH(ORDER!A38,MASTERDATA!$L$3:$L$302,0))</f>
        <v>#N/A</v>
      </c>
      <c r="AB38" s="62" t="e">
        <f>INDEX(MASTERDATA!$H$3:$H$302,MATCH(ORDER!A38,MASTERDATA!$L$3:$L$302,0))</f>
        <v>#N/A</v>
      </c>
    </row>
    <row r="39" spans="1:39" ht="15.75" x14ac:dyDescent="0.3">
      <c r="A39" s="114">
        <f>IF(AND(NOT(MASTERDATA!I39="yes"),NOT(MASTERDATA!K39="yes")),MASTERDATA!L39,"")</f>
        <v>0</v>
      </c>
      <c r="B39" s="49" t="e">
        <f>INDEX(MASTERDATA!$V$3:$V$302,MATCH(ORDER!A39,MASTERDATA!$L$3:$L$302,0))</f>
        <v>#N/A</v>
      </c>
      <c r="C39" s="50" t="e">
        <f>INDEX(MASTERDATA!$W$3:$W$302,MATCH(ORDER!A39,MASTERDATA!$L$3:$L$302,0))</f>
        <v>#N/A</v>
      </c>
      <c r="D39" s="51">
        <f ca="1">DATE(YEAR(BRAND!$B$1),MONTH(BRAND!$B$1)+MASTERDATA!Q39,DAY(1))</f>
        <v>42979</v>
      </c>
      <c r="E39" s="52" t="e">
        <f>INDEX(MASTERDATA!$AF$3:$AF$302,MATCH(ORDER!A39,MASTERDATA!$L$3:$L$302,0))</f>
        <v>#N/A</v>
      </c>
      <c r="F39" s="52" t="e">
        <f>INDEX(MASTERDATA!$AH$3:$AH$302,MATCH(ORDER!A39,MASTERDATA!$L$3:$L$302,0))</f>
        <v>#N/A</v>
      </c>
      <c r="G39" s="76"/>
      <c r="H39" s="113">
        <f t="shared" si="5"/>
        <v>0</v>
      </c>
      <c r="I39" s="79" t="str">
        <f ca="1">IFERROR(VLOOKUP(A39&amp;"New PO-Net QTY",BRAND!$F$5:$X$825,MATCH(ORDER!D39,BRAND!$G$5:$X$5,0)+1,0),"")</f>
        <v/>
      </c>
      <c r="J39" s="53">
        <f t="shared" ca="1" si="6"/>
        <v>0</v>
      </c>
      <c r="K39" s="53">
        <f t="shared" ca="1" si="7"/>
        <v>0</v>
      </c>
      <c r="L39" s="54" t="e">
        <f ca="1">J39*INDEX(MASTERDATA!$AA$3:$AA$302,MATCH(ORDER!A39,MASTERDATA!$L$3:$L$302,0))</f>
        <v>#N/A</v>
      </c>
      <c r="M39" s="55">
        <f ca="1">IFERROR(INDEX(MASTERDATA!$AC$3:$AC$302,MATCH(ORDER!A39,MASTERDATA!$L$3:$L$302,0))*I39,0)</f>
        <v>0</v>
      </c>
      <c r="N39" s="56"/>
      <c r="O39" s="115">
        <f t="shared" si="8"/>
        <v>0</v>
      </c>
      <c r="P39" s="57" t="e">
        <f>INDEX(MASTERDATA!$M$3:$M$302,MATCH(ORDER!A39,MASTERDATA!$L$3:$L$302,0))</f>
        <v>#N/A</v>
      </c>
      <c r="Q39" s="58" t="e">
        <f>INDEX(MASTERDATA!$N$3:$N$302,MATCH(ORDER!A39,MASTERDATA!$L$3:$L$302,0))</f>
        <v>#N/A</v>
      </c>
      <c r="R39" s="57" t="str">
        <f t="shared" si="9"/>
        <v/>
      </c>
      <c r="S39" s="59"/>
      <c r="T39" s="59"/>
      <c r="U39" s="57" t="e">
        <f>INDEX(MASTERDATA!$AA$3:$AA$302,MATCH(ORDER!A39,MASTERDATA!$L$3:$L$302,0))*S39</f>
        <v>#N/A</v>
      </c>
      <c r="V39" s="60">
        <f>IFERROR(INDEX(MASTERDATA!$AC$3:$AC$302,MATCH(ORDER!A39,MASTERDATA!$L$3:$L$302,0))*R39,0)</f>
        <v>0</v>
      </c>
      <c r="W39" s="112" t="str">
        <f ca="1">IF(ISNUMBER(I39),VLOOKUP(A39&amp;"DSI End Period",BRAND!$F$5:$X$815,MATCH(D39,BRAND!$G$5:$X$5)+1,0),"")</f>
        <v/>
      </c>
      <c r="X39" s="61"/>
      <c r="Y39" s="62">
        <f>MASTERDATA!R39</f>
        <v>0</v>
      </c>
      <c r="Z39" s="63" t="e">
        <f>INDEX(MASTERDATA!$S$3:$S$302,MATCH(ORDER!A39,MASTERDATA!$L$3:$L$302,0))</f>
        <v>#N/A</v>
      </c>
      <c r="AA39" s="63" t="e">
        <f>INDEX(MASTERDATA!$U$3:$U$302,MATCH(ORDER!A39,MASTERDATA!$L$3:$L$302,0))</f>
        <v>#N/A</v>
      </c>
      <c r="AB39" s="62" t="e">
        <f>INDEX(MASTERDATA!$H$3:$H$302,MATCH(ORDER!A39,MASTERDATA!$L$3:$L$302,0))</f>
        <v>#N/A</v>
      </c>
    </row>
    <row r="40" spans="1:39" ht="15.75" x14ac:dyDescent="0.3">
      <c r="A40" s="114">
        <f>IF(AND(NOT(MASTERDATA!I40="yes"),NOT(MASTERDATA!K40="yes")),MASTERDATA!L40,"")</f>
        <v>0</v>
      </c>
      <c r="B40" s="49" t="e">
        <f>INDEX(MASTERDATA!$V$3:$V$302,MATCH(ORDER!A40,MASTERDATA!$L$3:$L$302,0))</f>
        <v>#N/A</v>
      </c>
      <c r="C40" s="50" t="e">
        <f>INDEX(MASTERDATA!$W$3:$W$302,MATCH(ORDER!A40,MASTERDATA!$L$3:$L$302,0))</f>
        <v>#N/A</v>
      </c>
      <c r="D40" s="51">
        <f ca="1">DATE(YEAR(BRAND!$B$1),MONTH(BRAND!$B$1)+MASTERDATA!Q40,DAY(1))</f>
        <v>42979</v>
      </c>
      <c r="E40" s="52" t="e">
        <f>INDEX(MASTERDATA!$AF$3:$AF$302,MATCH(ORDER!A40,MASTERDATA!$L$3:$L$302,0))</f>
        <v>#N/A</v>
      </c>
      <c r="F40" s="52" t="e">
        <f>INDEX(MASTERDATA!$AH$3:$AH$302,MATCH(ORDER!A40,MASTERDATA!$L$3:$L$302,0))</f>
        <v>#N/A</v>
      </c>
      <c r="G40" s="76"/>
      <c r="H40" s="113">
        <f t="shared" si="5"/>
        <v>0</v>
      </c>
      <c r="I40" s="79" t="str">
        <f ca="1">IFERROR(VLOOKUP(A40&amp;"New PO-Net QTY",BRAND!$F$5:$X$825,MATCH(ORDER!D40,BRAND!$G$5:$X$5,0)+1,0),"")</f>
        <v/>
      </c>
      <c r="J40" s="53">
        <f t="shared" ca="1" si="6"/>
        <v>0</v>
      </c>
      <c r="K40" s="53">
        <f t="shared" ca="1" si="7"/>
        <v>0</v>
      </c>
      <c r="L40" s="54" t="e">
        <f ca="1">J40*INDEX(MASTERDATA!$AA$3:$AA$302,MATCH(ORDER!A40,MASTERDATA!$L$3:$L$302,0))</f>
        <v>#N/A</v>
      </c>
      <c r="M40" s="55">
        <f ca="1">IFERROR(INDEX(MASTERDATA!$AC$3:$AC$302,MATCH(ORDER!A40,MASTERDATA!$L$3:$L$302,0))*I40,0)</f>
        <v>0</v>
      </c>
      <c r="N40" s="56"/>
      <c r="O40" s="115">
        <f t="shared" si="8"/>
        <v>0</v>
      </c>
      <c r="P40" s="57" t="e">
        <f>INDEX(MASTERDATA!$M$3:$M$302,MATCH(ORDER!A40,MASTERDATA!$L$3:$L$302,0))</f>
        <v>#N/A</v>
      </c>
      <c r="Q40" s="58" t="e">
        <f>INDEX(MASTERDATA!$N$3:$N$302,MATCH(ORDER!A40,MASTERDATA!$L$3:$L$302,0))</f>
        <v>#N/A</v>
      </c>
      <c r="R40" s="57" t="str">
        <f t="shared" si="9"/>
        <v/>
      </c>
      <c r="S40" s="59"/>
      <c r="T40" s="59"/>
      <c r="U40" s="57" t="e">
        <f>INDEX(MASTERDATA!$AA$3:$AA$302,MATCH(ORDER!A40,MASTERDATA!$L$3:$L$302,0))*S40</f>
        <v>#N/A</v>
      </c>
      <c r="V40" s="60">
        <f>IFERROR(INDEX(MASTERDATA!$AC$3:$AC$302,MATCH(ORDER!A40,MASTERDATA!$L$3:$L$302,0))*R40,0)</f>
        <v>0</v>
      </c>
      <c r="W40" s="112" t="str">
        <f ca="1">IF(ISNUMBER(I40),VLOOKUP(A40&amp;"DSI End Period",BRAND!$F$5:$X$815,MATCH(D40,BRAND!$G$5:$X$5)+1,0),"")</f>
        <v/>
      </c>
      <c r="X40" s="61"/>
      <c r="Y40" s="62">
        <f>MASTERDATA!R40</f>
        <v>0</v>
      </c>
      <c r="Z40" s="63" t="e">
        <f>INDEX(MASTERDATA!$S$3:$S$302,MATCH(ORDER!A40,MASTERDATA!$L$3:$L$302,0))</f>
        <v>#N/A</v>
      </c>
      <c r="AA40" s="63" t="e">
        <f>INDEX(MASTERDATA!$U$3:$U$302,MATCH(ORDER!A40,MASTERDATA!$L$3:$L$302,0))</f>
        <v>#N/A</v>
      </c>
      <c r="AB40" s="62" t="e">
        <f>INDEX(MASTERDATA!$H$3:$H$302,MATCH(ORDER!A40,MASTERDATA!$L$3:$L$302,0))</f>
        <v>#N/A</v>
      </c>
    </row>
    <row r="41" spans="1:39" ht="15.75" hidden="1" x14ac:dyDescent="0.3">
      <c r="A41" s="114">
        <f>IF(AND(NOT(MASTERDATA!I41="yes"),NOT(MASTERDATA!K41="yes")),MASTERDATA!L41,"")</f>
        <v>0</v>
      </c>
      <c r="B41" s="49" t="e">
        <f>INDEX(MASTERDATA!$V$3:$V$302,MATCH(ORDER!A41,MASTERDATA!$L$3:$L$302,0))</f>
        <v>#N/A</v>
      </c>
      <c r="C41" s="50" t="e">
        <f>INDEX(MASTERDATA!$W$3:$W$302,MATCH(ORDER!A41,MASTERDATA!$L$3:$L$302,0))</f>
        <v>#N/A</v>
      </c>
      <c r="D41" s="51">
        <f ca="1">DATE(YEAR(BRAND!$B$1),MONTH(BRAND!$B$1)+MASTERDATA!Q41,DAY(1))</f>
        <v>42979</v>
      </c>
      <c r="E41" s="52" t="e">
        <f>INDEX(MASTERDATA!$AF$3:$AF$302,MATCH(ORDER!A41,MASTERDATA!$L$3:$L$302,0))</f>
        <v>#N/A</v>
      </c>
      <c r="F41" s="52" t="e">
        <f>INDEX(MASTERDATA!$AH$3:$AH$302,MATCH(ORDER!A41,MASTERDATA!$L$3:$L$302,0))</f>
        <v>#N/A</v>
      </c>
      <c r="G41" s="76"/>
      <c r="H41" s="113">
        <f t="shared" si="5"/>
        <v>0</v>
      </c>
      <c r="I41" s="79" t="str">
        <f ca="1">IFERROR(VLOOKUP(A41&amp;"New PO-Net QTY",BRAND!$F$5:$X$825,MATCH(ORDER!D41,BRAND!$G$5:$X$5,0)+1,0),"")</f>
        <v/>
      </c>
      <c r="J41" s="53">
        <f t="shared" ca="1" si="6"/>
        <v>0</v>
      </c>
      <c r="K41" s="53">
        <f t="shared" ca="1" si="7"/>
        <v>0</v>
      </c>
      <c r="L41" s="54" t="e">
        <f ca="1">J41*INDEX(MASTERDATA!$AA$3:$AA$302,MATCH(ORDER!A41,MASTERDATA!$L$3:$L$302,0))</f>
        <v>#N/A</v>
      </c>
      <c r="M41" s="55">
        <f ca="1">IFERROR(INDEX(MASTERDATA!$AC$3:$AC$302,MATCH(ORDER!A41,MASTERDATA!$L$3:$L$302,0))*I41,0)</f>
        <v>0</v>
      </c>
      <c r="N41" s="56"/>
      <c r="O41" s="115">
        <f t="shared" si="8"/>
        <v>0</v>
      </c>
      <c r="P41" s="57" t="e">
        <f>INDEX(MASTERDATA!$M$3:$M$302,MATCH(ORDER!A41,MASTERDATA!$L$3:$L$302,0))</f>
        <v>#N/A</v>
      </c>
      <c r="Q41" s="58" t="e">
        <f>INDEX(MASTERDATA!$N$3:$N$302,MATCH(ORDER!A41,MASTERDATA!$L$3:$L$302,0))</f>
        <v>#N/A</v>
      </c>
      <c r="R41" s="57" t="str">
        <f t="shared" si="9"/>
        <v/>
      </c>
      <c r="S41" s="59"/>
      <c r="T41" s="59"/>
      <c r="U41" s="57" t="e">
        <f>INDEX(MASTERDATA!$AA$3:$AA$302,MATCH(ORDER!A41,MASTERDATA!$L$3:$L$302,0))*S41</f>
        <v>#N/A</v>
      </c>
      <c r="V41" s="60">
        <f>IFERROR(INDEX(MASTERDATA!$AC$3:$AC$302,MATCH(ORDER!A41,MASTERDATA!$L$3:$L$302,0))*R41,0)</f>
        <v>0</v>
      </c>
      <c r="W41" s="112" t="str">
        <f ca="1">IF(ISNUMBER(I41),VLOOKUP(A41&amp;"DSI End Period",BRAND!$F$5:$X$815,MATCH(D41,BRAND!$G$5:$X$5)+1,0),"")</f>
        <v/>
      </c>
      <c r="X41" s="61"/>
      <c r="Y41" s="62">
        <f>MASTERDATA!R41</f>
        <v>0</v>
      </c>
      <c r="Z41" s="63" t="e">
        <f>INDEX(MASTERDATA!$S$3:$S$302,MATCH(ORDER!A41,MASTERDATA!$L$3:$L$302,0))</f>
        <v>#N/A</v>
      </c>
      <c r="AA41" s="63" t="e">
        <f>INDEX(MASTERDATA!$U$3:$U$302,MATCH(ORDER!A41,MASTERDATA!$L$3:$L$302,0))</f>
        <v>#N/A</v>
      </c>
      <c r="AB41" s="62" t="e">
        <f>INDEX(MASTERDATA!$H$3:$H$302,MATCH(ORDER!A41,MASTERDATA!$L$3:$L$302,0))</f>
        <v>#N/A</v>
      </c>
      <c r="AC41" s="64"/>
      <c r="AD41" s="29"/>
      <c r="AE41" s="65"/>
      <c r="AF41" s="65"/>
      <c r="AG41" s="65"/>
      <c r="AH41" s="65"/>
      <c r="AI41" s="65"/>
      <c r="AJ41" s="65"/>
      <c r="AK41" s="65"/>
      <c r="AL41" s="65"/>
      <c r="AM41" s="65"/>
    </row>
    <row r="42" spans="1:39" ht="15.75" x14ac:dyDescent="0.3">
      <c r="A42" s="114">
        <f>IF(AND(NOT(MASTERDATA!I42="yes"),NOT(MASTERDATA!K42="yes")),MASTERDATA!L42,"")</f>
        <v>0</v>
      </c>
      <c r="B42" s="49" t="e">
        <f>INDEX(MASTERDATA!$V$3:$V$302,MATCH(ORDER!A42,MASTERDATA!$L$3:$L$302,0))</f>
        <v>#N/A</v>
      </c>
      <c r="C42" s="50" t="e">
        <f>INDEX(MASTERDATA!$W$3:$W$302,MATCH(ORDER!A42,MASTERDATA!$L$3:$L$302,0))</f>
        <v>#N/A</v>
      </c>
      <c r="D42" s="51">
        <f ca="1">DATE(YEAR(BRAND!$B$1),MONTH(BRAND!$B$1)+MASTERDATA!Q42,DAY(1))</f>
        <v>42979</v>
      </c>
      <c r="E42" s="52" t="e">
        <f>INDEX(MASTERDATA!$AF$3:$AF$302,MATCH(ORDER!A42,MASTERDATA!$L$3:$L$302,0))</f>
        <v>#N/A</v>
      </c>
      <c r="F42" s="52" t="e">
        <f>INDEX(MASTERDATA!$AH$3:$AH$302,MATCH(ORDER!A42,MASTERDATA!$L$3:$L$302,0))</f>
        <v>#N/A</v>
      </c>
      <c r="G42" s="76"/>
      <c r="H42" s="113">
        <f t="shared" si="5"/>
        <v>0</v>
      </c>
      <c r="I42" s="79" t="str">
        <f ca="1">IFERROR(VLOOKUP(A42&amp;"New PO-Net QTY",BRAND!$F$5:$X$825,MATCH(ORDER!D42,BRAND!$G$5:$X$5,0)+1,0),"")</f>
        <v/>
      </c>
      <c r="J42" s="53">
        <f t="shared" ca="1" si="6"/>
        <v>0</v>
      </c>
      <c r="K42" s="53">
        <f t="shared" ca="1" si="7"/>
        <v>0</v>
      </c>
      <c r="L42" s="54" t="e">
        <f ca="1">J42*INDEX(MASTERDATA!$AA$3:$AA$302,MATCH(ORDER!A42,MASTERDATA!$L$3:$L$302,0))</f>
        <v>#N/A</v>
      </c>
      <c r="M42" s="55">
        <f ca="1">IFERROR(INDEX(MASTERDATA!$AC$3:$AC$302,MATCH(ORDER!A42,MASTERDATA!$L$3:$L$302,0))*I42,0)</f>
        <v>0</v>
      </c>
      <c r="N42" s="56"/>
      <c r="O42" s="115">
        <f t="shared" si="8"/>
        <v>0</v>
      </c>
      <c r="P42" s="57" t="e">
        <f>INDEX(MASTERDATA!$M$3:$M$302,MATCH(ORDER!A42,MASTERDATA!$L$3:$L$302,0))</f>
        <v>#N/A</v>
      </c>
      <c r="Q42" s="58" t="e">
        <f>INDEX(MASTERDATA!$N$3:$N$302,MATCH(ORDER!A42,MASTERDATA!$L$3:$L$302,0))</f>
        <v>#N/A</v>
      </c>
      <c r="R42" s="57" t="str">
        <f t="shared" si="9"/>
        <v/>
      </c>
      <c r="S42" s="59"/>
      <c r="T42" s="59"/>
      <c r="U42" s="57" t="e">
        <f>INDEX(MASTERDATA!$AA$3:$AA$302,MATCH(ORDER!A42,MASTERDATA!$L$3:$L$302,0))*S42</f>
        <v>#N/A</v>
      </c>
      <c r="V42" s="60">
        <f>IFERROR(INDEX(MASTERDATA!$AC$3:$AC$302,MATCH(ORDER!A42,MASTERDATA!$L$3:$L$302,0))*R42,0)</f>
        <v>0</v>
      </c>
      <c r="W42" s="112" t="str">
        <f ca="1">IF(ISNUMBER(I42),VLOOKUP(A42&amp;"DSI End Period",BRAND!$F$5:$X$815,MATCH(D42,BRAND!$G$5:$X$5)+1,0),"")</f>
        <v/>
      </c>
      <c r="X42" s="61"/>
      <c r="Y42" s="62">
        <f>MASTERDATA!R42</f>
        <v>0</v>
      </c>
      <c r="Z42" s="63" t="e">
        <f>INDEX(MASTERDATA!$S$3:$S$302,MATCH(ORDER!A42,MASTERDATA!$L$3:$L$302,0))</f>
        <v>#N/A</v>
      </c>
      <c r="AA42" s="63" t="e">
        <f>INDEX(MASTERDATA!$U$3:$U$302,MATCH(ORDER!A42,MASTERDATA!$L$3:$L$302,0))</f>
        <v>#N/A</v>
      </c>
      <c r="AB42" s="62" t="e">
        <f>INDEX(MASTERDATA!$H$3:$H$302,MATCH(ORDER!A42,MASTERDATA!$L$3:$L$302,0))</f>
        <v>#N/A</v>
      </c>
    </row>
    <row r="43" spans="1:39" ht="15.75" hidden="1" x14ac:dyDescent="0.3">
      <c r="A43" s="114">
        <f>IF(AND(NOT(MASTERDATA!I43="yes"),NOT(MASTERDATA!K43="yes")),MASTERDATA!L43,"")</f>
        <v>0</v>
      </c>
      <c r="B43" s="49" t="e">
        <f>INDEX(MASTERDATA!$V$3:$V$302,MATCH(ORDER!A43,MASTERDATA!$L$3:$L$302,0))</f>
        <v>#N/A</v>
      </c>
      <c r="C43" s="50" t="e">
        <f>INDEX(MASTERDATA!$W$3:$W$302,MATCH(ORDER!A43,MASTERDATA!$L$3:$L$302,0))</f>
        <v>#N/A</v>
      </c>
      <c r="D43" s="51">
        <f ca="1">DATE(YEAR(BRAND!$B$1),MONTH(BRAND!$B$1)+MASTERDATA!Q43,DAY(1))</f>
        <v>42979</v>
      </c>
      <c r="E43" s="52" t="e">
        <f>INDEX(MASTERDATA!$AF$3:$AF$302,MATCH(ORDER!A43,MASTERDATA!$L$3:$L$302,0))</f>
        <v>#N/A</v>
      </c>
      <c r="F43" s="52" t="e">
        <f>INDEX(MASTERDATA!$AH$3:$AH$302,MATCH(ORDER!A43,MASTERDATA!$L$3:$L$302,0))</f>
        <v>#N/A</v>
      </c>
      <c r="G43" s="76"/>
      <c r="H43" s="113">
        <f t="shared" si="5"/>
        <v>0</v>
      </c>
      <c r="I43" s="79" t="str">
        <f ca="1">IFERROR(VLOOKUP(A43&amp;"New PO-Net QTY",BRAND!$F$5:$X$825,MATCH(ORDER!D43,BRAND!$G$5:$X$5,0)+1,0),"")</f>
        <v/>
      </c>
      <c r="J43" s="53">
        <f t="shared" ca="1" si="6"/>
        <v>0</v>
      </c>
      <c r="K43" s="53">
        <f t="shared" ca="1" si="7"/>
        <v>0</v>
      </c>
      <c r="L43" s="54" t="e">
        <f ca="1">J43*INDEX(MASTERDATA!$AA$3:$AA$302,MATCH(ORDER!A43,MASTERDATA!$L$3:$L$302,0))</f>
        <v>#N/A</v>
      </c>
      <c r="M43" s="55">
        <f ca="1">IFERROR(INDEX(MASTERDATA!$AC$3:$AC$302,MATCH(ORDER!A43,MASTERDATA!$L$3:$L$302,0))*I43,0)</f>
        <v>0</v>
      </c>
      <c r="N43" s="56"/>
      <c r="O43" s="115">
        <f t="shared" si="8"/>
        <v>0</v>
      </c>
      <c r="P43" s="57" t="e">
        <f>INDEX(MASTERDATA!$M$3:$M$302,MATCH(ORDER!A43,MASTERDATA!$L$3:$L$302,0))</f>
        <v>#N/A</v>
      </c>
      <c r="Q43" s="58" t="e">
        <f>INDEX(MASTERDATA!$N$3:$N$302,MATCH(ORDER!A43,MASTERDATA!$L$3:$L$302,0))</f>
        <v>#N/A</v>
      </c>
      <c r="R43" s="57" t="str">
        <f t="shared" si="9"/>
        <v/>
      </c>
      <c r="S43" s="59"/>
      <c r="T43" s="59"/>
      <c r="U43" s="57" t="e">
        <f>INDEX(MASTERDATA!$AA$3:$AA$302,MATCH(ORDER!A43,MASTERDATA!$L$3:$L$302,0))*S43</f>
        <v>#N/A</v>
      </c>
      <c r="V43" s="60">
        <f>IFERROR(INDEX(MASTERDATA!$AC$3:$AC$302,MATCH(ORDER!A43,MASTERDATA!$L$3:$L$302,0))*R43,0)</f>
        <v>0</v>
      </c>
      <c r="W43" s="112" t="str">
        <f ca="1">IF(ISNUMBER(I43),VLOOKUP(A43&amp;"DSI End Period",BRAND!$F$5:$X$815,MATCH(D43,BRAND!$G$5:$X$5)+1,0),"")</f>
        <v/>
      </c>
      <c r="X43" s="61"/>
      <c r="Y43" s="62">
        <f>MASTERDATA!R43</f>
        <v>0</v>
      </c>
      <c r="Z43" s="63" t="e">
        <f>INDEX(MASTERDATA!$S$3:$S$302,MATCH(ORDER!A43,MASTERDATA!$L$3:$L$302,0))</f>
        <v>#N/A</v>
      </c>
      <c r="AA43" s="63" t="e">
        <f>INDEX(MASTERDATA!$U$3:$U$302,MATCH(ORDER!A43,MASTERDATA!$L$3:$L$302,0))</f>
        <v>#N/A</v>
      </c>
      <c r="AB43" s="62" t="e">
        <f>INDEX(MASTERDATA!$H$3:$H$302,MATCH(ORDER!A43,MASTERDATA!$L$3:$L$302,0))</f>
        <v>#N/A</v>
      </c>
      <c r="AC43" s="64"/>
      <c r="AD43" s="29"/>
      <c r="AE43" s="65"/>
      <c r="AF43" s="65"/>
      <c r="AG43" s="65"/>
      <c r="AH43" s="65"/>
      <c r="AI43" s="65"/>
      <c r="AJ43" s="65"/>
      <c r="AK43" s="65"/>
      <c r="AL43" s="65"/>
      <c r="AM43" s="65"/>
    </row>
    <row r="44" spans="1:39" ht="15.75" hidden="1" x14ac:dyDescent="0.3">
      <c r="A44" s="114">
        <f>IF(AND(NOT(MASTERDATA!I44="yes"),NOT(MASTERDATA!K44="yes")),MASTERDATA!L44,"")</f>
        <v>0</v>
      </c>
      <c r="B44" s="49" t="e">
        <f>INDEX(MASTERDATA!$V$3:$V$302,MATCH(ORDER!A44,MASTERDATA!$L$3:$L$302,0))</f>
        <v>#N/A</v>
      </c>
      <c r="C44" s="50" t="e">
        <f>INDEX(MASTERDATA!$W$3:$W$302,MATCH(ORDER!A44,MASTERDATA!$L$3:$L$302,0))</f>
        <v>#N/A</v>
      </c>
      <c r="D44" s="51">
        <f ca="1">DATE(YEAR(BRAND!$B$1),MONTH(BRAND!$B$1)+MASTERDATA!Q44,DAY(1))</f>
        <v>42979</v>
      </c>
      <c r="E44" s="52" t="e">
        <f>INDEX(MASTERDATA!$AF$3:$AF$302,MATCH(ORDER!A44,MASTERDATA!$L$3:$L$302,0))</f>
        <v>#N/A</v>
      </c>
      <c r="F44" s="52" t="e">
        <f>INDEX(MASTERDATA!$AH$3:$AH$302,MATCH(ORDER!A44,MASTERDATA!$L$3:$L$302,0))</f>
        <v>#N/A</v>
      </c>
      <c r="G44" s="76"/>
      <c r="H44" s="113">
        <f t="shared" si="5"/>
        <v>0</v>
      </c>
      <c r="I44" s="79" t="str">
        <f ca="1">IFERROR(VLOOKUP(A44&amp;"New PO-Net QTY",BRAND!$F$5:$X$825,MATCH(ORDER!D44,BRAND!$G$5:$X$5,0)+1,0),"")</f>
        <v/>
      </c>
      <c r="J44" s="53">
        <f t="shared" ca="1" si="6"/>
        <v>0</v>
      </c>
      <c r="K44" s="53">
        <f t="shared" ca="1" si="7"/>
        <v>0</v>
      </c>
      <c r="L44" s="54" t="e">
        <f ca="1">J44*INDEX(MASTERDATA!$AA$3:$AA$302,MATCH(ORDER!A44,MASTERDATA!$L$3:$L$302,0))</f>
        <v>#N/A</v>
      </c>
      <c r="M44" s="55">
        <f ca="1">IFERROR(INDEX(MASTERDATA!$AC$3:$AC$302,MATCH(ORDER!A44,MASTERDATA!$L$3:$L$302,0))*I44,0)</f>
        <v>0</v>
      </c>
      <c r="N44" s="56"/>
      <c r="O44" s="115">
        <f t="shared" si="8"/>
        <v>0</v>
      </c>
      <c r="P44" s="57" t="e">
        <f>INDEX(MASTERDATA!$M$3:$M$302,MATCH(ORDER!A44,MASTERDATA!$L$3:$L$302,0))</f>
        <v>#N/A</v>
      </c>
      <c r="Q44" s="58" t="e">
        <f>INDEX(MASTERDATA!$N$3:$N$302,MATCH(ORDER!A44,MASTERDATA!$L$3:$L$302,0))</f>
        <v>#N/A</v>
      </c>
      <c r="R44" s="57" t="str">
        <f t="shared" si="9"/>
        <v/>
      </c>
      <c r="S44" s="59"/>
      <c r="T44" s="59"/>
      <c r="U44" s="57" t="e">
        <f>INDEX(MASTERDATA!$AA$3:$AA$302,MATCH(ORDER!A44,MASTERDATA!$L$3:$L$302,0))*S44</f>
        <v>#N/A</v>
      </c>
      <c r="V44" s="60">
        <f>IFERROR(INDEX(MASTERDATA!$AC$3:$AC$302,MATCH(ORDER!A44,MASTERDATA!$L$3:$L$302,0))*R44,0)</f>
        <v>0</v>
      </c>
      <c r="W44" s="112" t="str">
        <f ca="1">IF(ISNUMBER(I44),VLOOKUP(A44&amp;"DSI End Period",BRAND!$F$5:$X$815,MATCH(D44,BRAND!$G$5:$X$5)+1,0),"")</f>
        <v/>
      </c>
      <c r="X44" s="61"/>
      <c r="Y44" s="62">
        <f>MASTERDATA!R44</f>
        <v>0</v>
      </c>
      <c r="Z44" s="63" t="e">
        <f>INDEX(MASTERDATA!$S$3:$S$302,MATCH(ORDER!A44,MASTERDATA!$L$3:$L$302,0))</f>
        <v>#N/A</v>
      </c>
      <c r="AA44" s="63" t="e">
        <f>INDEX(MASTERDATA!$U$3:$U$302,MATCH(ORDER!A44,MASTERDATA!$L$3:$L$302,0))</f>
        <v>#N/A</v>
      </c>
      <c r="AB44" s="62" t="e">
        <f>INDEX(MASTERDATA!$H$3:$H$302,MATCH(ORDER!A44,MASTERDATA!$L$3:$L$302,0))</f>
        <v>#N/A</v>
      </c>
      <c r="AC44" s="64"/>
      <c r="AD44" s="29"/>
      <c r="AE44" s="65"/>
      <c r="AF44" s="65"/>
      <c r="AG44" s="65"/>
      <c r="AH44" s="65"/>
      <c r="AI44" s="65"/>
      <c r="AJ44" s="65"/>
      <c r="AK44" s="65"/>
      <c r="AL44" s="65"/>
      <c r="AM44" s="65"/>
    </row>
    <row r="45" spans="1:39" ht="15.75" x14ac:dyDescent="0.3">
      <c r="A45" s="114">
        <f>IF(AND(NOT(MASTERDATA!I45="yes"),NOT(MASTERDATA!K45="yes")),MASTERDATA!L45,"")</f>
        <v>0</v>
      </c>
      <c r="B45" s="49" t="e">
        <f>INDEX(MASTERDATA!$V$3:$V$302,MATCH(ORDER!A45,MASTERDATA!$L$3:$L$302,0))</f>
        <v>#N/A</v>
      </c>
      <c r="C45" s="50" t="e">
        <f>INDEX(MASTERDATA!$W$3:$W$302,MATCH(ORDER!A45,MASTERDATA!$L$3:$L$302,0))</f>
        <v>#N/A</v>
      </c>
      <c r="D45" s="51">
        <f ca="1">DATE(YEAR(BRAND!$B$1),MONTH(BRAND!$B$1)+MASTERDATA!Q45,DAY(1))</f>
        <v>42979</v>
      </c>
      <c r="E45" s="52" t="e">
        <f>INDEX(MASTERDATA!$AF$3:$AF$302,MATCH(ORDER!A45,MASTERDATA!$L$3:$L$302,0))</f>
        <v>#N/A</v>
      </c>
      <c r="F45" s="52" t="e">
        <f>INDEX(MASTERDATA!$AH$3:$AH$302,MATCH(ORDER!A45,MASTERDATA!$L$3:$L$302,0))</f>
        <v>#N/A</v>
      </c>
      <c r="G45" s="76"/>
      <c r="H45" s="113">
        <f t="shared" si="5"/>
        <v>0</v>
      </c>
      <c r="I45" s="79" t="str">
        <f ca="1">IFERROR(VLOOKUP(A45&amp;"New PO-Net QTY",BRAND!$F$5:$X$825,MATCH(ORDER!D45,BRAND!$G$5:$X$5,0)+1,0),"")</f>
        <v/>
      </c>
      <c r="J45" s="53">
        <f t="shared" ca="1" si="6"/>
        <v>0</v>
      </c>
      <c r="K45" s="53">
        <f t="shared" ca="1" si="7"/>
        <v>0</v>
      </c>
      <c r="L45" s="54" t="e">
        <f ca="1">J45*INDEX(MASTERDATA!$AA$3:$AA$302,MATCH(ORDER!A45,MASTERDATA!$L$3:$L$302,0))</f>
        <v>#N/A</v>
      </c>
      <c r="M45" s="55">
        <f ca="1">IFERROR(INDEX(MASTERDATA!$AC$3:$AC$302,MATCH(ORDER!A45,MASTERDATA!$L$3:$L$302,0))*I45,0)</f>
        <v>0</v>
      </c>
      <c r="N45" s="56"/>
      <c r="O45" s="115">
        <f t="shared" si="8"/>
        <v>0</v>
      </c>
      <c r="P45" s="57" t="e">
        <f>INDEX(MASTERDATA!$M$3:$M$302,MATCH(ORDER!A45,MASTERDATA!$L$3:$L$302,0))</f>
        <v>#N/A</v>
      </c>
      <c r="Q45" s="58" t="e">
        <f>INDEX(MASTERDATA!$N$3:$N$302,MATCH(ORDER!A45,MASTERDATA!$L$3:$L$302,0))</f>
        <v>#N/A</v>
      </c>
      <c r="R45" s="57" t="str">
        <f t="shared" si="9"/>
        <v/>
      </c>
      <c r="S45" s="59"/>
      <c r="T45" s="59"/>
      <c r="U45" s="57" t="e">
        <f>INDEX(MASTERDATA!$AA$3:$AA$302,MATCH(ORDER!A45,MASTERDATA!$L$3:$L$302,0))*S45</f>
        <v>#N/A</v>
      </c>
      <c r="V45" s="60">
        <f>IFERROR(INDEX(MASTERDATA!$AC$3:$AC$302,MATCH(ORDER!A45,MASTERDATA!$L$3:$L$302,0))*R45,0)</f>
        <v>0</v>
      </c>
      <c r="W45" s="112" t="str">
        <f ca="1">IF(ISNUMBER(I45),VLOOKUP(A45&amp;"DSI End Period",BRAND!$F$5:$X$815,MATCH(D45,BRAND!$G$5:$X$5)+1,0),"")</f>
        <v/>
      </c>
      <c r="X45" s="61"/>
      <c r="Y45" s="62">
        <f>MASTERDATA!R45</f>
        <v>0</v>
      </c>
      <c r="Z45" s="63" t="e">
        <f>INDEX(MASTERDATA!$S$3:$S$302,MATCH(ORDER!A45,MASTERDATA!$L$3:$L$302,0))</f>
        <v>#N/A</v>
      </c>
      <c r="AA45" s="63" t="e">
        <f>INDEX(MASTERDATA!$U$3:$U$302,MATCH(ORDER!A45,MASTERDATA!$L$3:$L$302,0))</f>
        <v>#N/A</v>
      </c>
      <c r="AB45" s="62" t="e">
        <f>INDEX(MASTERDATA!$H$3:$H$302,MATCH(ORDER!A45,MASTERDATA!$L$3:$L$302,0))</f>
        <v>#N/A</v>
      </c>
    </row>
    <row r="46" spans="1:39" ht="15.75" hidden="1" x14ac:dyDescent="0.3">
      <c r="A46" s="114">
        <f>IF(AND(NOT(MASTERDATA!I46="yes"),NOT(MASTERDATA!K46="yes")),MASTERDATA!L46,"")</f>
        <v>0</v>
      </c>
      <c r="B46" s="49" t="e">
        <f>INDEX(MASTERDATA!$V$3:$V$302,MATCH(ORDER!A46,MASTERDATA!$L$3:$L$302,0))</f>
        <v>#N/A</v>
      </c>
      <c r="C46" s="50" t="e">
        <f>INDEX(MASTERDATA!$W$3:$W$302,MATCH(ORDER!A46,MASTERDATA!$L$3:$L$302,0))</f>
        <v>#N/A</v>
      </c>
      <c r="D46" s="51">
        <f ca="1">DATE(YEAR(BRAND!$B$1),MONTH(BRAND!$B$1)+MASTERDATA!Q46,DAY(1))</f>
        <v>42979</v>
      </c>
      <c r="E46" s="52" t="e">
        <f>INDEX(MASTERDATA!$AF$3:$AF$302,MATCH(ORDER!A46,MASTERDATA!$L$3:$L$302,0))</f>
        <v>#N/A</v>
      </c>
      <c r="F46" s="52" t="e">
        <f>INDEX(MASTERDATA!$AH$3:$AH$302,MATCH(ORDER!A46,MASTERDATA!$L$3:$L$302,0))</f>
        <v>#N/A</v>
      </c>
      <c r="G46" s="76"/>
      <c r="H46" s="113">
        <f t="shared" si="5"/>
        <v>0</v>
      </c>
      <c r="I46" s="79" t="str">
        <f ca="1">IFERROR(VLOOKUP(A46&amp;"New PO-Net QTY",BRAND!$F$5:$X$825,MATCH(ORDER!D46,BRAND!$G$5:$X$5,0)+1,0),"")</f>
        <v/>
      </c>
      <c r="J46" s="53">
        <f t="shared" ca="1" si="6"/>
        <v>0</v>
      </c>
      <c r="K46" s="53">
        <f t="shared" ca="1" si="7"/>
        <v>0</v>
      </c>
      <c r="L46" s="54" t="e">
        <f ca="1">J46*INDEX(MASTERDATA!$AA$3:$AA$302,MATCH(ORDER!A46,MASTERDATA!$L$3:$L$302,0))</f>
        <v>#N/A</v>
      </c>
      <c r="M46" s="55">
        <f ca="1">IFERROR(INDEX(MASTERDATA!$AC$3:$AC$302,MATCH(ORDER!A46,MASTERDATA!$L$3:$L$302,0))*I46,0)</f>
        <v>0</v>
      </c>
      <c r="N46" s="56"/>
      <c r="O46" s="115">
        <f t="shared" si="8"/>
        <v>0</v>
      </c>
      <c r="P46" s="57" t="e">
        <f>INDEX(MASTERDATA!$M$3:$M$302,MATCH(ORDER!A46,MASTERDATA!$L$3:$L$302,0))</f>
        <v>#N/A</v>
      </c>
      <c r="Q46" s="58" t="e">
        <f>INDEX(MASTERDATA!$N$3:$N$302,MATCH(ORDER!A46,MASTERDATA!$L$3:$L$302,0))</f>
        <v>#N/A</v>
      </c>
      <c r="R46" s="57" t="str">
        <f t="shared" si="9"/>
        <v/>
      </c>
      <c r="S46" s="59"/>
      <c r="T46" s="59"/>
      <c r="U46" s="57" t="e">
        <f>INDEX(MASTERDATA!$AA$3:$AA$302,MATCH(ORDER!A46,MASTERDATA!$L$3:$L$302,0))*S46</f>
        <v>#N/A</v>
      </c>
      <c r="V46" s="60">
        <f>IFERROR(INDEX(MASTERDATA!$AC$3:$AC$302,MATCH(ORDER!A46,MASTERDATA!$L$3:$L$302,0))*R46,0)</f>
        <v>0</v>
      </c>
      <c r="W46" s="112" t="str">
        <f ca="1">IF(ISNUMBER(I46),VLOOKUP(A46&amp;"DSI End Period",BRAND!$F$5:$X$815,MATCH(D46,BRAND!$G$5:$X$5)+1,0),"")</f>
        <v/>
      </c>
      <c r="X46" s="61"/>
      <c r="Y46" s="62">
        <f>MASTERDATA!R46</f>
        <v>0</v>
      </c>
      <c r="Z46" s="63" t="e">
        <f>INDEX(MASTERDATA!$S$3:$S$302,MATCH(ORDER!A46,MASTERDATA!$L$3:$L$302,0))</f>
        <v>#N/A</v>
      </c>
      <c r="AA46" s="63" t="e">
        <f>INDEX(MASTERDATA!$U$3:$U$302,MATCH(ORDER!A46,MASTERDATA!$L$3:$L$302,0))</f>
        <v>#N/A</v>
      </c>
      <c r="AB46" s="62" t="e">
        <f>INDEX(MASTERDATA!$H$3:$H$302,MATCH(ORDER!A46,MASTERDATA!$L$3:$L$302,0))</f>
        <v>#N/A</v>
      </c>
      <c r="AC46" s="64"/>
      <c r="AD46" s="29"/>
      <c r="AE46" s="65"/>
      <c r="AF46" s="65"/>
      <c r="AG46" s="65"/>
      <c r="AH46" s="65"/>
      <c r="AI46" s="65"/>
      <c r="AJ46" s="65"/>
      <c r="AK46" s="65"/>
      <c r="AL46" s="65"/>
      <c r="AM46" s="65"/>
    </row>
    <row r="47" spans="1:39" ht="15.75" hidden="1" x14ac:dyDescent="0.3">
      <c r="A47" s="114">
        <f>IF(AND(NOT(MASTERDATA!I47="yes"),NOT(MASTERDATA!K47="yes")),MASTERDATA!L47,"")</f>
        <v>0</v>
      </c>
      <c r="B47" s="49" t="e">
        <f>INDEX(MASTERDATA!$V$3:$V$302,MATCH(ORDER!A47,MASTERDATA!$L$3:$L$302,0))</f>
        <v>#N/A</v>
      </c>
      <c r="C47" s="50" t="e">
        <f>INDEX(MASTERDATA!$W$3:$W$302,MATCH(ORDER!A47,MASTERDATA!$L$3:$L$302,0))</f>
        <v>#N/A</v>
      </c>
      <c r="D47" s="51">
        <f ca="1">DATE(YEAR(BRAND!$B$1),MONTH(BRAND!$B$1)+MASTERDATA!Q47,DAY(1))</f>
        <v>42979</v>
      </c>
      <c r="E47" s="52" t="e">
        <f>INDEX(MASTERDATA!$AF$3:$AF$302,MATCH(ORDER!A47,MASTERDATA!$L$3:$L$302,0))</f>
        <v>#N/A</v>
      </c>
      <c r="F47" s="52" t="e">
        <f>INDEX(MASTERDATA!$AH$3:$AH$302,MATCH(ORDER!A47,MASTERDATA!$L$3:$L$302,0))</f>
        <v>#N/A</v>
      </c>
      <c r="G47" s="76"/>
      <c r="H47" s="113">
        <f t="shared" si="5"/>
        <v>0</v>
      </c>
      <c r="I47" s="79" t="str">
        <f ca="1">IFERROR(VLOOKUP(A47&amp;"New PO-Net QTY",BRAND!$F$5:$X$825,MATCH(ORDER!D47,BRAND!$G$5:$X$5,0)+1,0),"")</f>
        <v/>
      </c>
      <c r="J47" s="53">
        <f t="shared" ca="1" si="6"/>
        <v>0</v>
      </c>
      <c r="K47" s="53">
        <f t="shared" ca="1" si="7"/>
        <v>0</v>
      </c>
      <c r="L47" s="54" t="e">
        <f ca="1">J47*INDEX(MASTERDATA!$AA$3:$AA$302,MATCH(ORDER!A47,MASTERDATA!$L$3:$L$302,0))</f>
        <v>#N/A</v>
      </c>
      <c r="M47" s="55">
        <f ca="1">IFERROR(INDEX(MASTERDATA!$AC$3:$AC$302,MATCH(ORDER!A47,MASTERDATA!$L$3:$L$302,0))*I47,0)</f>
        <v>0</v>
      </c>
      <c r="N47" s="56"/>
      <c r="O47" s="115">
        <f t="shared" si="8"/>
        <v>0</v>
      </c>
      <c r="P47" s="57" t="e">
        <f>INDEX(MASTERDATA!$M$3:$M$302,MATCH(ORDER!A47,MASTERDATA!$L$3:$L$302,0))</f>
        <v>#N/A</v>
      </c>
      <c r="Q47" s="58" t="e">
        <f>INDEX(MASTERDATA!$N$3:$N$302,MATCH(ORDER!A47,MASTERDATA!$L$3:$L$302,0))</f>
        <v>#N/A</v>
      </c>
      <c r="R47" s="57" t="str">
        <f t="shared" si="9"/>
        <v/>
      </c>
      <c r="S47" s="59"/>
      <c r="T47" s="59"/>
      <c r="U47" s="57" t="e">
        <f>INDEX(MASTERDATA!$AA$3:$AA$302,MATCH(ORDER!A47,MASTERDATA!$L$3:$L$302,0))*S47</f>
        <v>#N/A</v>
      </c>
      <c r="V47" s="60">
        <f>IFERROR(INDEX(MASTERDATA!$AC$3:$AC$302,MATCH(ORDER!A47,MASTERDATA!$L$3:$L$302,0))*R47,0)</f>
        <v>0</v>
      </c>
      <c r="W47" s="112" t="str">
        <f ca="1">IF(ISNUMBER(I47),VLOOKUP(A47&amp;"DSI End Period",BRAND!$F$5:$X$815,MATCH(D47,BRAND!$G$5:$X$5)+1,0),"")</f>
        <v/>
      </c>
      <c r="X47" s="61"/>
      <c r="Y47" s="62">
        <f>MASTERDATA!R47</f>
        <v>0</v>
      </c>
      <c r="Z47" s="63" t="e">
        <f>INDEX(MASTERDATA!$S$3:$S$302,MATCH(ORDER!A47,MASTERDATA!$L$3:$L$302,0))</f>
        <v>#N/A</v>
      </c>
      <c r="AA47" s="63" t="e">
        <f>INDEX(MASTERDATA!$U$3:$U$302,MATCH(ORDER!A47,MASTERDATA!$L$3:$L$302,0))</f>
        <v>#N/A</v>
      </c>
      <c r="AB47" s="62" t="e">
        <f>INDEX(MASTERDATA!$H$3:$H$302,MATCH(ORDER!A47,MASTERDATA!$L$3:$L$302,0))</f>
        <v>#N/A</v>
      </c>
      <c r="AC47" s="64"/>
      <c r="AD47" s="29"/>
      <c r="AE47" s="65"/>
      <c r="AF47" s="65"/>
      <c r="AG47" s="65"/>
      <c r="AH47" s="65"/>
      <c r="AI47" s="65"/>
      <c r="AJ47" s="65"/>
      <c r="AK47" s="65"/>
      <c r="AL47" s="65"/>
      <c r="AM47" s="65"/>
    </row>
    <row r="48" spans="1:39" ht="15.75" x14ac:dyDescent="0.3">
      <c r="A48" s="114">
        <f>IF(AND(NOT(MASTERDATA!I48="yes"),NOT(MASTERDATA!K48="yes")),MASTERDATA!L48,"")</f>
        <v>0</v>
      </c>
      <c r="B48" s="49" t="e">
        <f>INDEX(MASTERDATA!$V$3:$V$302,MATCH(ORDER!A48,MASTERDATA!$L$3:$L$302,0))</f>
        <v>#N/A</v>
      </c>
      <c r="C48" s="50" t="e">
        <f>INDEX(MASTERDATA!$W$3:$W$302,MATCH(ORDER!A48,MASTERDATA!$L$3:$L$302,0))</f>
        <v>#N/A</v>
      </c>
      <c r="D48" s="51">
        <f ca="1">DATE(YEAR(BRAND!$B$1),MONTH(BRAND!$B$1)+MASTERDATA!Q48,DAY(1))</f>
        <v>42979</v>
      </c>
      <c r="E48" s="52" t="e">
        <f>INDEX(MASTERDATA!$AF$3:$AF$302,MATCH(ORDER!A48,MASTERDATA!$L$3:$L$302,0))</f>
        <v>#N/A</v>
      </c>
      <c r="F48" s="52" t="e">
        <f>INDEX(MASTERDATA!$AH$3:$AH$302,MATCH(ORDER!A48,MASTERDATA!$L$3:$L$302,0))</f>
        <v>#N/A</v>
      </c>
      <c r="G48" s="76"/>
      <c r="H48" s="113">
        <f t="shared" si="5"/>
        <v>0</v>
      </c>
      <c r="I48" s="79" t="str">
        <f ca="1">IFERROR(VLOOKUP(A48&amp;"New PO-Net QTY",BRAND!$F$5:$X$825,MATCH(ORDER!D48,BRAND!$G$5:$X$5,0)+1,0),"")</f>
        <v/>
      </c>
      <c r="J48" s="53">
        <f t="shared" ca="1" si="6"/>
        <v>0</v>
      </c>
      <c r="K48" s="53">
        <f t="shared" ca="1" si="7"/>
        <v>0</v>
      </c>
      <c r="L48" s="54" t="e">
        <f ca="1">J48*INDEX(MASTERDATA!$AA$3:$AA$302,MATCH(ORDER!A48,MASTERDATA!$L$3:$L$302,0))</f>
        <v>#N/A</v>
      </c>
      <c r="M48" s="55">
        <f ca="1">IFERROR(INDEX(MASTERDATA!$AC$3:$AC$302,MATCH(ORDER!A48,MASTERDATA!$L$3:$L$302,0))*I48,0)</f>
        <v>0</v>
      </c>
      <c r="N48" s="56"/>
      <c r="O48" s="115">
        <f t="shared" si="8"/>
        <v>0</v>
      </c>
      <c r="P48" s="57" t="e">
        <f>INDEX(MASTERDATA!$M$3:$M$302,MATCH(ORDER!A48,MASTERDATA!$L$3:$L$302,0))</f>
        <v>#N/A</v>
      </c>
      <c r="Q48" s="58" t="e">
        <f>INDEX(MASTERDATA!$N$3:$N$302,MATCH(ORDER!A48,MASTERDATA!$L$3:$L$302,0))</f>
        <v>#N/A</v>
      </c>
      <c r="R48" s="57" t="str">
        <f t="shared" si="9"/>
        <v/>
      </c>
      <c r="S48" s="59"/>
      <c r="T48" s="59"/>
      <c r="U48" s="57" t="e">
        <f>INDEX(MASTERDATA!$AA$3:$AA$302,MATCH(ORDER!A48,MASTERDATA!$L$3:$L$302,0))*S48</f>
        <v>#N/A</v>
      </c>
      <c r="V48" s="60">
        <f>IFERROR(INDEX(MASTERDATA!$AC$3:$AC$302,MATCH(ORDER!A48,MASTERDATA!$L$3:$L$302,0))*R48,0)</f>
        <v>0</v>
      </c>
      <c r="W48" s="112" t="str">
        <f ca="1">IF(ISNUMBER(I48),VLOOKUP(A48&amp;"DSI End Period",BRAND!$F$5:$X$815,MATCH(D48,BRAND!$G$5:$X$5)+1,0),"")</f>
        <v/>
      </c>
      <c r="X48" s="61"/>
      <c r="Y48" s="62">
        <f>MASTERDATA!R48</f>
        <v>0</v>
      </c>
      <c r="Z48" s="63" t="e">
        <f>INDEX(MASTERDATA!$S$3:$S$302,MATCH(ORDER!A48,MASTERDATA!$L$3:$L$302,0))</f>
        <v>#N/A</v>
      </c>
      <c r="AA48" s="63" t="e">
        <f>INDEX(MASTERDATA!$U$3:$U$302,MATCH(ORDER!A48,MASTERDATA!$L$3:$L$302,0))</f>
        <v>#N/A</v>
      </c>
      <c r="AB48" s="62" t="e">
        <f>INDEX(MASTERDATA!$H$3:$H$302,MATCH(ORDER!A48,MASTERDATA!$L$3:$L$302,0))</f>
        <v>#N/A</v>
      </c>
    </row>
    <row r="49" spans="1:39" ht="15.75" hidden="1" x14ac:dyDescent="0.3">
      <c r="A49" s="114">
        <f>IF(AND(NOT(MASTERDATA!I49="yes"),NOT(MASTERDATA!K49="yes")),MASTERDATA!L49,"")</f>
        <v>0</v>
      </c>
      <c r="B49" s="49" t="e">
        <f>INDEX(MASTERDATA!$V$3:$V$302,MATCH(ORDER!A49,MASTERDATA!$L$3:$L$302,0))</f>
        <v>#N/A</v>
      </c>
      <c r="C49" s="50" t="e">
        <f>INDEX(MASTERDATA!$W$3:$W$302,MATCH(ORDER!A49,MASTERDATA!$L$3:$L$302,0))</f>
        <v>#N/A</v>
      </c>
      <c r="D49" s="51">
        <f ca="1">DATE(YEAR(BRAND!$B$1),MONTH(BRAND!$B$1)+MASTERDATA!Q49,DAY(1))</f>
        <v>42979</v>
      </c>
      <c r="E49" s="52" t="e">
        <f>INDEX(MASTERDATA!$AF$3:$AF$302,MATCH(ORDER!A49,MASTERDATA!$L$3:$L$302,0))</f>
        <v>#N/A</v>
      </c>
      <c r="F49" s="52" t="e">
        <f>INDEX(MASTERDATA!$AH$3:$AH$302,MATCH(ORDER!A49,MASTERDATA!$L$3:$L$302,0))</f>
        <v>#N/A</v>
      </c>
      <c r="G49" s="76"/>
      <c r="H49" s="113">
        <f t="shared" si="5"/>
        <v>0</v>
      </c>
      <c r="I49" s="79" t="str">
        <f ca="1">IFERROR(VLOOKUP(A49&amp;"New PO-Net QTY",BRAND!$F$5:$X$825,MATCH(ORDER!D49,BRAND!$G$5:$X$5,0)+1,0),"")</f>
        <v/>
      </c>
      <c r="J49" s="53">
        <f t="shared" ca="1" si="6"/>
        <v>0</v>
      </c>
      <c r="K49" s="53">
        <f t="shared" ca="1" si="7"/>
        <v>0</v>
      </c>
      <c r="L49" s="54" t="e">
        <f ca="1">J49*INDEX(MASTERDATA!$AA$3:$AA$302,MATCH(ORDER!A49,MASTERDATA!$L$3:$L$302,0))</f>
        <v>#N/A</v>
      </c>
      <c r="M49" s="55">
        <f ca="1">IFERROR(INDEX(MASTERDATA!$AC$3:$AC$302,MATCH(ORDER!A49,MASTERDATA!$L$3:$L$302,0))*I49,0)</f>
        <v>0</v>
      </c>
      <c r="N49" s="56"/>
      <c r="O49" s="115">
        <f t="shared" si="8"/>
        <v>0</v>
      </c>
      <c r="P49" s="57" t="e">
        <f>INDEX(MASTERDATA!$M$3:$M$302,MATCH(ORDER!A49,MASTERDATA!$L$3:$L$302,0))</f>
        <v>#N/A</v>
      </c>
      <c r="Q49" s="58" t="e">
        <f>INDEX(MASTERDATA!$N$3:$N$302,MATCH(ORDER!A49,MASTERDATA!$L$3:$L$302,0))</f>
        <v>#N/A</v>
      </c>
      <c r="R49" s="57" t="str">
        <f t="shared" si="9"/>
        <v/>
      </c>
      <c r="S49" s="59"/>
      <c r="T49" s="59"/>
      <c r="U49" s="57" t="e">
        <f>INDEX(MASTERDATA!$AA$3:$AA$302,MATCH(ORDER!A49,MASTERDATA!$L$3:$L$302,0))*S49</f>
        <v>#N/A</v>
      </c>
      <c r="V49" s="60">
        <f>IFERROR(INDEX(MASTERDATA!$AC$3:$AC$302,MATCH(ORDER!A49,MASTERDATA!$L$3:$L$302,0))*R49,0)</f>
        <v>0</v>
      </c>
      <c r="W49" s="112" t="str">
        <f ca="1">IF(ISNUMBER(I49),VLOOKUP(A49&amp;"DSI End Period",BRAND!$F$5:$X$815,MATCH(D49,BRAND!$G$5:$X$5)+1,0),"")</f>
        <v/>
      </c>
      <c r="X49" s="61"/>
      <c r="Y49" s="62">
        <f>MASTERDATA!R49</f>
        <v>0</v>
      </c>
      <c r="Z49" s="63" t="e">
        <f>INDEX(MASTERDATA!$S$3:$S$302,MATCH(ORDER!A49,MASTERDATA!$L$3:$L$302,0))</f>
        <v>#N/A</v>
      </c>
      <c r="AA49" s="63" t="e">
        <f>INDEX(MASTERDATA!$U$3:$U$302,MATCH(ORDER!A49,MASTERDATA!$L$3:$L$302,0))</f>
        <v>#N/A</v>
      </c>
      <c r="AB49" s="62" t="e">
        <f>INDEX(MASTERDATA!$H$3:$H$302,MATCH(ORDER!A49,MASTERDATA!$L$3:$L$302,0))</f>
        <v>#N/A</v>
      </c>
      <c r="AC49" s="64"/>
      <c r="AD49" s="29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1:39" ht="15.75" hidden="1" x14ac:dyDescent="0.3">
      <c r="A50" s="114">
        <f>IF(AND(NOT(MASTERDATA!I50="yes"),NOT(MASTERDATA!K50="yes")),MASTERDATA!L50,"")</f>
        <v>0</v>
      </c>
      <c r="B50" s="49" t="e">
        <f>INDEX(MASTERDATA!$V$3:$V$302,MATCH(ORDER!A50,MASTERDATA!$L$3:$L$302,0))</f>
        <v>#N/A</v>
      </c>
      <c r="C50" s="50" t="e">
        <f>INDEX(MASTERDATA!$W$3:$W$302,MATCH(ORDER!A50,MASTERDATA!$L$3:$L$302,0))</f>
        <v>#N/A</v>
      </c>
      <c r="D50" s="51">
        <f ca="1">DATE(YEAR(BRAND!$B$1),MONTH(BRAND!$B$1)+MASTERDATA!Q50,DAY(1))</f>
        <v>42979</v>
      </c>
      <c r="E50" s="52" t="e">
        <f>INDEX(MASTERDATA!$AF$3:$AF$302,MATCH(ORDER!A50,MASTERDATA!$L$3:$L$302,0))</f>
        <v>#N/A</v>
      </c>
      <c r="F50" s="52" t="e">
        <f>INDEX(MASTERDATA!$AH$3:$AH$302,MATCH(ORDER!A50,MASTERDATA!$L$3:$L$302,0))</f>
        <v>#N/A</v>
      </c>
      <c r="G50" s="76"/>
      <c r="H50" s="113">
        <f t="shared" si="5"/>
        <v>0</v>
      </c>
      <c r="I50" s="79" t="str">
        <f ca="1">IFERROR(VLOOKUP(A50&amp;"New PO-Net QTY",BRAND!$F$5:$X$825,MATCH(ORDER!D50,BRAND!$G$5:$X$5,0)+1,0),"")</f>
        <v/>
      </c>
      <c r="J50" s="53">
        <f t="shared" ca="1" si="6"/>
        <v>0</v>
      </c>
      <c r="K50" s="53">
        <f t="shared" ca="1" si="7"/>
        <v>0</v>
      </c>
      <c r="L50" s="54" t="e">
        <f ca="1">J50*INDEX(MASTERDATA!$AA$3:$AA$302,MATCH(ORDER!A50,MASTERDATA!$L$3:$L$302,0))</f>
        <v>#N/A</v>
      </c>
      <c r="M50" s="55">
        <f ca="1">IFERROR(INDEX(MASTERDATA!$AC$3:$AC$302,MATCH(ORDER!A50,MASTERDATA!$L$3:$L$302,0))*I50,0)</f>
        <v>0</v>
      </c>
      <c r="N50" s="56"/>
      <c r="O50" s="115">
        <f t="shared" si="8"/>
        <v>0</v>
      </c>
      <c r="P50" s="57" t="e">
        <f>INDEX(MASTERDATA!$M$3:$M$302,MATCH(ORDER!A50,MASTERDATA!$L$3:$L$302,0))</f>
        <v>#N/A</v>
      </c>
      <c r="Q50" s="58" t="e">
        <f>INDEX(MASTERDATA!$N$3:$N$302,MATCH(ORDER!A50,MASTERDATA!$L$3:$L$302,0))</f>
        <v>#N/A</v>
      </c>
      <c r="R50" s="57" t="str">
        <f t="shared" si="9"/>
        <v/>
      </c>
      <c r="S50" s="59"/>
      <c r="T50" s="59"/>
      <c r="U50" s="57" t="e">
        <f>INDEX(MASTERDATA!$AA$3:$AA$302,MATCH(ORDER!A50,MASTERDATA!$L$3:$L$302,0))*S50</f>
        <v>#N/A</v>
      </c>
      <c r="V50" s="60">
        <f>IFERROR(INDEX(MASTERDATA!$AC$3:$AC$302,MATCH(ORDER!A50,MASTERDATA!$L$3:$L$302,0))*R50,0)</f>
        <v>0</v>
      </c>
      <c r="W50" s="112" t="str">
        <f ca="1">IF(ISNUMBER(I50),VLOOKUP(A50&amp;"DSI End Period",BRAND!$F$5:$X$815,MATCH(D50,BRAND!$G$5:$X$5)+1,0),"")</f>
        <v/>
      </c>
      <c r="X50" s="61"/>
      <c r="Y50" s="62">
        <f>MASTERDATA!R50</f>
        <v>0</v>
      </c>
      <c r="Z50" s="63" t="e">
        <f>INDEX(MASTERDATA!$S$3:$S$302,MATCH(ORDER!A50,MASTERDATA!$L$3:$L$302,0))</f>
        <v>#N/A</v>
      </c>
      <c r="AA50" s="63" t="e">
        <f>INDEX(MASTERDATA!$U$3:$U$302,MATCH(ORDER!A50,MASTERDATA!$L$3:$L$302,0))</f>
        <v>#N/A</v>
      </c>
      <c r="AB50" s="62" t="e">
        <f>INDEX(MASTERDATA!$H$3:$H$302,MATCH(ORDER!A50,MASTERDATA!$L$3:$L$302,0))</f>
        <v>#N/A</v>
      </c>
      <c r="AC50" s="64"/>
      <c r="AD50" s="29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1:39" ht="15.75" x14ac:dyDescent="0.3">
      <c r="A51" s="114">
        <f>IF(AND(NOT(MASTERDATA!I51="yes"),NOT(MASTERDATA!K51="yes")),MASTERDATA!L51,"")</f>
        <v>0</v>
      </c>
      <c r="B51" s="49" t="e">
        <f>INDEX(MASTERDATA!$V$3:$V$302,MATCH(ORDER!A51,MASTERDATA!$L$3:$L$302,0))</f>
        <v>#N/A</v>
      </c>
      <c r="C51" s="50" t="e">
        <f>INDEX(MASTERDATA!$W$3:$W$302,MATCH(ORDER!A51,MASTERDATA!$L$3:$L$302,0))</f>
        <v>#N/A</v>
      </c>
      <c r="D51" s="51">
        <f ca="1">DATE(YEAR(BRAND!$B$1),MONTH(BRAND!$B$1)+MASTERDATA!Q51,DAY(1))</f>
        <v>42979</v>
      </c>
      <c r="E51" s="52" t="e">
        <f>INDEX(MASTERDATA!$AF$3:$AF$302,MATCH(ORDER!A51,MASTERDATA!$L$3:$L$302,0))</f>
        <v>#N/A</v>
      </c>
      <c r="F51" s="52" t="e">
        <f>INDEX(MASTERDATA!$AH$3:$AH$302,MATCH(ORDER!A51,MASTERDATA!$L$3:$L$302,0))</f>
        <v>#N/A</v>
      </c>
      <c r="G51" s="76"/>
      <c r="H51" s="113">
        <f t="shared" si="5"/>
        <v>0</v>
      </c>
      <c r="I51" s="79" t="str">
        <f ca="1">IFERROR(VLOOKUP(A51&amp;"New PO-Net QTY",BRAND!$F$5:$X$825,MATCH(ORDER!D51,BRAND!$G$5:$X$5,0)+1,0),"")</f>
        <v/>
      </c>
      <c r="J51" s="53">
        <f t="shared" ca="1" si="6"/>
        <v>0</v>
      </c>
      <c r="K51" s="53">
        <f t="shared" ca="1" si="7"/>
        <v>0</v>
      </c>
      <c r="L51" s="54" t="e">
        <f ca="1">J51*INDEX(MASTERDATA!$AA$3:$AA$302,MATCH(ORDER!A51,MASTERDATA!$L$3:$L$302,0))</f>
        <v>#N/A</v>
      </c>
      <c r="M51" s="55">
        <f ca="1">IFERROR(INDEX(MASTERDATA!$AC$3:$AC$302,MATCH(ORDER!A51,MASTERDATA!$L$3:$L$302,0))*I51,0)</f>
        <v>0</v>
      </c>
      <c r="N51" s="56"/>
      <c r="O51" s="115">
        <f t="shared" si="8"/>
        <v>0</v>
      </c>
      <c r="P51" s="57" t="e">
        <f>INDEX(MASTERDATA!$M$3:$M$302,MATCH(ORDER!A51,MASTERDATA!$L$3:$L$302,0))</f>
        <v>#N/A</v>
      </c>
      <c r="Q51" s="58" t="e">
        <f>INDEX(MASTERDATA!$N$3:$N$302,MATCH(ORDER!A51,MASTERDATA!$L$3:$L$302,0))</f>
        <v>#N/A</v>
      </c>
      <c r="R51" s="57" t="str">
        <f t="shared" si="9"/>
        <v/>
      </c>
      <c r="S51" s="59"/>
      <c r="T51" s="59"/>
      <c r="U51" s="57" t="e">
        <f>INDEX(MASTERDATA!$AA$3:$AA$302,MATCH(ORDER!A51,MASTERDATA!$L$3:$L$302,0))*S51</f>
        <v>#N/A</v>
      </c>
      <c r="V51" s="60">
        <f>IFERROR(INDEX(MASTERDATA!$AC$3:$AC$302,MATCH(ORDER!A51,MASTERDATA!$L$3:$L$302,0))*R51,0)</f>
        <v>0</v>
      </c>
      <c r="W51" s="112" t="str">
        <f ca="1">IF(ISNUMBER(I51),VLOOKUP(A51&amp;"DSI End Period",BRAND!$F$5:$X$815,MATCH(D51,BRAND!$G$5:$X$5)+1,0),"")</f>
        <v/>
      </c>
      <c r="X51" s="61"/>
      <c r="Y51" s="62">
        <f>MASTERDATA!R51</f>
        <v>0</v>
      </c>
      <c r="Z51" s="63" t="e">
        <f>INDEX(MASTERDATA!$S$3:$S$302,MATCH(ORDER!A51,MASTERDATA!$L$3:$L$302,0))</f>
        <v>#N/A</v>
      </c>
      <c r="AA51" s="63" t="e">
        <f>INDEX(MASTERDATA!$U$3:$U$302,MATCH(ORDER!A51,MASTERDATA!$L$3:$L$302,0))</f>
        <v>#N/A</v>
      </c>
      <c r="AB51" s="62" t="e">
        <f>INDEX(MASTERDATA!$H$3:$H$302,MATCH(ORDER!A51,MASTERDATA!$L$3:$L$302,0))</f>
        <v>#N/A</v>
      </c>
    </row>
    <row r="52" spans="1:39" ht="15.75" x14ac:dyDescent="0.3">
      <c r="A52" s="114">
        <f>IF(AND(NOT(MASTERDATA!I52="yes"),NOT(MASTERDATA!K52="yes")),MASTERDATA!L52,"")</f>
        <v>0</v>
      </c>
      <c r="B52" s="49" t="e">
        <f>INDEX(MASTERDATA!$V$3:$V$302,MATCH(ORDER!A52,MASTERDATA!$L$3:$L$302,0))</f>
        <v>#N/A</v>
      </c>
      <c r="C52" s="50" t="e">
        <f>INDEX(MASTERDATA!$W$3:$W$302,MATCH(ORDER!A52,MASTERDATA!$L$3:$L$302,0))</f>
        <v>#N/A</v>
      </c>
      <c r="D52" s="51">
        <f ca="1">DATE(YEAR(BRAND!$B$1),MONTH(BRAND!$B$1)+MASTERDATA!Q52,DAY(1))</f>
        <v>42979</v>
      </c>
      <c r="E52" s="52" t="e">
        <f>INDEX(MASTERDATA!$AF$3:$AF$302,MATCH(ORDER!A52,MASTERDATA!$L$3:$L$302,0))</f>
        <v>#N/A</v>
      </c>
      <c r="F52" s="52" t="e">
        <f>INDEX(MASTERDATA!$AH$3:$AH$302,MATCH(ORDER!A52,MASTERDATA!$L$3:$L$302,0))</f>
        <v>#N/A</v>
      </c>
      <c r="G52" s="76"/>
      <c r="H52" s="113">
        <f t="shared" si="5"/>
        <v>0</v>
      </c>
      <c r="I52" s="79" t="str">
        <f ca="1">IFERROR(VLOOKUP(A52&amp;"New PO-Net QTY",BRAND!$F$5:$X$825,MATCH(ORDER!D52,BRAND!$G$5:$X$5,0)+1,0),"")</f>
        <v/>
      </c>
      <c r="J52" s="53">
        <f t="shared" ca="1" si="6"/>
        <v>0</v>
      </c>
      <c r="K52" s="53">
        <f t="shared" ca="1" si="7"/>
        <v>0</v>
      </c>
      <c r="L52" s="54" t="e">
        <f ca="1">J52*INDEX(MASTERDATA!$AA$3:$AA$302,MATCH(ORDER!A52,MASTERDATA!$L$3:$L$302,0))</f>
        <v>#N/A</v>
      </c>
      <c r="M52" s="55">
        <f ca="1">IFERROR(INDEX(MASTERDATA!$AC$3:$AC$302,MATCH(ORDER!A52,MASTERDATA!$L$3:$L$302,0))*I52,0)</f>
        <v>0</v>
      </c>
      <c r="N52" s="56"/>
      <c r="O52" s="115">
        <f t="shared" si="8"/>
        <v>0</v>
      </c>
      <c r="P52" s="57" t="e">
        <f>INDEX(MASTERDATA!$M$3:$M$302,MATCH(ORDER!A52,MASTERDATA!$L$3:$L$302,0))</f>
        <v>#N/A</v>
      </c>
      <c r="Q52" s="58" t="e">
        <f>INDEX(MASTERDATA!$N$3:$N$302,MATCH(ORDER!A52,MASTERDATA!$L$3:$L$302,0))</f>
        <v>#N/A</v>
      </c>
      <c r="R52" s="57" t="str">
        <f t="shared" si="9"/>
        <v/>
      </c>
      <c r="S52" s="59"/>
      <c r="T52" s="59"/>
      <c r="U52" s="57" t="e">
        <f>INDEX(MASTERDATA!$AA$3:$AA$302,MATCH(ORDER!A52,MASTERDATA!$L$3:$L$302,0))*S52</f>
        <v>#N/A</v>
      </c>
      <c r="V52" s="60">
        <f>IFERROR(INDEX(MASTERDATA!$AC$3:$AC$302,MATCH(ORDER!A52,MASTERDATA!$L$3:$L$302,0))*R52,0)</f>
        <v>0</v>
      </c>
      <c r="W52" s="112" t="str">
        <f ca="1">IF(ISNUMBER(I52),VLOOKUP(A52&amp;"DSI End Period",BRAND!$F$5:$X$815,MATCH(D52,BRAND!$G$5:$X$5)+1,0),"")</f>
        <v/>
      </c>
      <c r="X52" s="61"/>
      <c r="Y52" s="62">
        <f>MASTERDATA!R52</f>
        <v>0</v>
      </c>
      <c r="Z52" s="63" t="e">
        <f>INDEX(MASTERDATA!$S$3:$S$302,MATCH(ORDER!A52,MASTERDATA!$L$3:$L$302,0))</f>
        <v>#N/A</v>
      </c>
      <c r="AA52" s="63" t="e">
        <f>INDEX(MASTERDATA!$U$3:$U$302,MATCH(ORDER!A52,MASTERDATA!$L$3:$L$302,0))</f>
        <v>#N/A</v>
      </c>
      <c r="AB52" s="62" t="e">
        <f>INDEX(MASTERDATA!$H$3:$H$302,MATCH(ORDER!A52,MASTERDATA!$L$3:$L$302,0))</f>
        <v>#N/A</v>
      </c>
    </row>
    <row r="53" spans="1:39" ht="15.75" x14ac:dyDescent="0.3">
      <c r="A53" s="114">
        <f>IF(AND(NOT(MASTERDATA!I53="yes"),NOT(MASTERDATA!K53="yes")),MASTERDATA!L53,"")</f>
        <v>0</v>
      </c>
      <c r="B53" s="49" t="e">
        <f>INDEX(MASTERDATA!$V$3:$V$302,MATCH(ORDER!A53,MASTERDATA!$L$3:$L$302,0))</f>
        <v>#N/A</v>
      </c>
      <c r="C53" s="50" t="e">
        <f>INDEX(MASTERDATA!$W$3:$W$302,MATCH(ORDER!A53,MASTERDATA!$L$3:$L$302,0))</f>
        <v>#N/A</v>
      </c>
      <c r="D53" s="51">
        <f ca="1">DATE(YEAR(BRAND!$B$1),MONTH(BRAND!$B$1)+MASTERDATA!Q53,DAY(1))</f>
        <v>42979</v>
      </c>
      <c r="E53" s="52" t="e">
        <f>INDEX(MASTERDATA!$AF$3:$AF$302,MATCH(ORDER!A53,MASTERDATA!$L$3:$L$302,0))</f>
        <v>#N/A</v>
      </c>
      <c r="F53" s="52" t="e">
        <f>INDEX(MASTERDATA!$AH$3:$AH$302,MATCH(ORDER!A53,MASTERDATA!$L$3:$L$302,0))</f>
        <v>#N/A</v>
      </c>
      <c r="G53" s="76"/>
      <c r="H53" s="113">
        <f t="shared" si="5"/>
        <v>0</v>
      </c>
      <c r="I53" s="79" t="str">
        <f ca="1">IFERROR(VLOOKUP(A53&amp;"New PO-Net QTY",BRAND!$F$5:$X$825,MATCH(ORDER!D53,BRAND!$G$5:$X$5,0)+1,0),"")</f>
        <v/>
      </c>
      <c r="J53" s="53">
        <f t="shared" ca="1" si="6"/>
        <v>0</v>
      </c>
      <c r="K53" s="53">
        <f t="shared" ca="1" si="7"/>
        <v>0</v>
      </c>
      <c r="L53" s="54" t="e">
        <f ca="1">J53*INDEX(MASTERDATA!$AA$3:$AA$302,MATCH(ORDER!A53,MASTERDATA!$L$3:$L$302,0))</f>
        <v>#N/A</v>
      </c>
      <c r="M53" s="55">
        <f ca="1">IFERROR(INDEX(MASTERDATA!$AC$3:$AC$302,MATCH(ORDER!A53,MASTERDATA!$L$3:$L$302,0))*I53,0)</f>
        <v>0</v>
      </c>
      <c r="N53" s="56"/>
      <c r="O53" s="115">
        <f t="shared" si="8"/>
        <v>0</v>
      </c>
      <c r="P53" s="57" t="e">
        <f>INDEX(MASTERDATA!$M$3:$M$302,MATCH(ORDER!A53,MASTERDATA!$L$3:$L$302,0))</f>
        <v>#N/A</v>
      </c>
      <c r="Q53" s="58" t="e">
        <f>INDEX(MASTERDATA!$N$3:$N$302,MATCH(ORDER!A53,MASTERDATA!$L$3:$L$302,0))</f>
        <v>#N/A</v>
      </c>
      <c r="R53" s="57" t="str">
        <f t="shared" si="9"/>
        <v/>
      </c>
      <c r="S53" s="59"/>
      <c r="T53" s="59"/>
      <c r="U53" s="57" t="e">
        <f>INDEX(MASTERDATA!$AA$3:$AA$302,MATCH(ORDER!A53,MASTERDATA!$L$3:$L$302,0))*S53</f>
        <v>#N/A</v>
      </c>
      <c r="V53" s="60">
        <f>IFERROR(INDEX(MASTERDATA!$AC$3:$AC$302,MATCH(ORDER!A53,MASTERDATA!$L$3:$L$302,0))*R53,0)</f>
        <v>0</v>
      </c>
      <c r="W53" s="112" t="str">
        <f ca="1">IF(ISNUMBER(I53),VLOOKUP(A53&amp;"DSI End Period",BRAND!$F$5:$X$815,MATCH(D53,BRAND!$G$5:$X$5)+1,0),"")</f>
        <v/>
      </c>
      <c r="X53" s="61"/>
      <c r="Y53" s="62">
        <f>MASTERDATA!R53</f>
        <v>0</v>
      </c>
      <c r="Z53" s="63" t="e">
        <f>INDEX(MASTERDATA!$S$3:$S$302,MATCH(ORDER!A53,MASTERDATA!$L$3:$L$302,0))</f>
        <v>#N/A</v>
      </c>
      <c r="AA53" s="63" t="e">
        <f>INDEX(MASTERDATA!$U$3:$U$302,MATCH(ORDER!A53,MASTERDATA!$L$3:$L$302,0))</f>
        <v>#N/A</v>
      </c>
      <c r="AB53" s="62" t="e">
        <f>INDEX(MASTERDATA!$H$3:$H$302,MATCH(ORDER!A53,MASTERDATA!$L$3:$L$302,0))</f>
        <v>#N/A</v>
      </c>
    </row>
    <row r="54" spans="1:39" ht="15.75" hidden="1" x14ac:dyDescent="0.3">
      <c r="A54" s="114">
        <f>IF(AND(NOT(MASTERDATA!I54="yes"),NOT(MASTERDATA!K54="yes")),MASTERDATA!L54,"")</f>
        <v>0</v>
      </c>
      <c r="B54" s="49" t="e">
        <f>INDEX(MASTERDATA!$V$3:$V$302,MATCH(ORDER!A54,MASTERDATA!$L$3:$L$302,0))</f>
        <v>#N/A</v>
      </c>
      <c r="C54" s="50" t="e">
        <f>INDEX(MASTERDATA!$W$3:$W$302,MATCH(ORDER!A54,MASTERDATA!$L$3:$L$302,0))</f>
        <v>#N/A</v>
      </c>
      <c r="D54" s="51">
        <f ca="1">DATE(YEAR(BRAND!$B$1),MONTH(BRAND!$B$1)+MASTERDATA!Q54,DAY(1))</f>
        <v>42979</v>
      </c>
      <c r="E54" s="52" t="e">
        <f>INDEX(MASTERDATA!$AF$3:$AF$302,MATCH(ORDER!A54,MASTERDATA!$L$3:$L$302,0))</f>
        <v>#N/A</v>
      </c>
      <c r="F54" s="52" t="e">
        <f>INDEX(MASTERDATA!$AH$3:$AH$302,MATCH(ORDER!A54,MASTERDATA!$L$3:$L$302,0))</f>
        <v>#N/A</v>
      </c>
      <c r="G54" s="76"/>
      <c r="H54" s="113">
        <f t="shared" si="5"/>
        <v>0</v>
      </c>
      <c r="I54" s="79" t="str">
        <f ca="1">IFERROR(VLOOKUP(A54&amp;"New PO-Net QTY",BRAND!$F$5:$X$825,MATCH(ORDER!D54,BRAND!$G$5:$X$5,0)+1,0),"")</f>
        <v/>
      </c>
      <c r="J54" s="53">
        <f t="shared" ca="1" si="6"/>
        <v>0</v>
      </c>
      <c r="K54" s="53">
        <f t="shared" ca="1" si="7"/>
        <v>0</v>
      </c>
      <c r="L54" s="54" t="e">
        <f ca="1">J54*INDEX(MASTERDATA!$AA$3:$AA$302,MATCH(ORDER!A54,MASTERDATA!$L$3:$L$302,0))</f>
        <v>#N/A</v>
      </c>
      <c r="M54" s="55">
        <f ca="1">IFERROR(INDEX(MASTERDATA!$AC$3:$AC$302,MATCH(ORDER!A54,MASTERDATA!$L$3:$L$302,0))*I54,0)</f>
        <v>0</v>
      </c>
      <c r="N54" s="56"/>
      <c r="O54" s="115">
        <f t="shared" si="8"/>
        <v>0</v>
      </c>
      <c r="P54" s="57" t="e">
        <f>INDEX(MASTERDATA!$M$3:$M$302,MATCH(ORDER!A54,MASTERDATA!$L$3:$L$302,0))</f>
        <v>#N/A</v>
      </c>
      <c r="Q54" s="58" t="e">
        <f>INDEX(MASTERDATA!$N$3:$N$302,MATCH(ORDER!A54,MASTERDATA!$L$3:$L$302,0))</f>
        <v>#N/A</v>
      </c>
      <c r="R54" s="57" t="str">
        <f t="shared" si="9"/>
        <v/>
      </c>
      <c r="S54" s="59"/>
      <c r="T54" s="59"/>
      <c r="U54" s="57" t="e">
        <f>INDEX(MASTERDATA!$AA$3:$AA$302,MATCH(ORDER!A54,MASTERDATA!$L$3:$L$302,0))*S54</f>
        <v>#N/A</v>
      </c>
      <c r="V54" s="60">
        <f>IFERROR(INDEX(MASTERDATA!$AC$3:$AC$302,MATCH(ORDER!A54,MASTERDATA!$L$3:$L$302,0))*R54,0)</f>
        <v>0</v>
      </c>
      <c r="W54" s="112" t="str">
        <f ca="1">IF(ISNUMBER(I54),VLOOKUP(A54&amp;"DSI End Period",BRAND!$F$5:$X$815,MATCH(D54,BRAND!$G$5:$X$5)+1,0),"")</f>
        <v/>
      </c>
      <c r="X54" s="61"/>
      <c r="Y54" s="62">
        <f>MASTERDATA!R54</f>
        <v>0</v>
      </c>
      <c r="Z54" s="63" t="e">
        <f>INDEX(MASTERDATA!$S$3:$S$302,MATCH(ORDER!A54,MASTERDATA!$L$3:$L$302,0))</f>
        <v>#N/A</v>
      </c>
      <c r="AA54" s="63" t="e">
        <f>INDEX(MASTERDATA!$U$3:$U$302,MATCH(ORDER!A54,MASTERDATA!$L$3:$L$302,0))</f>
        <v>#N/A</v>
      </c>
      <c r="AB54" s="62" t="e">
        <f>INDEX(MASTERDATA!$H$3:$H$302,MATCH(ORDER!A54,MASTERDATA!$L$3:$L$302,0))</f>
        <v>#N/A</v>
      </c>
      <c r="AC54" s="64"/>
      <c r="AD54" s="29"/>
      <c r="AE54" s="65"/>
      <c r="AF54" s="65"/>
      <c r="AG54" s="65"/>
      <c r="AH54" s="65"/>
      <c r="AI54" s="65"/>
      <c r="AJ54" s="65"/>
      <c r="AK54" s="65"/>
      <c r="AL54" s="65"/>
      <c r="AM54" s="65"/>
    </row>
    <row r="55" spans="1:39" ht="15.75" hidden="1" x14ac:dyDescent="0.3">
      <c r="A55" s="114">
        <f>IF(AND(NOT(MASTERDATA!I55="yes"),NOT(MASTERDATA!K55="yes")),MASTERDATA!L55,"")</f>
        <v>0</v>
      </c>
      <c r="B55" s="49" t="e">
        <f>INDEX(MASTERDATA!$V$3:$V$302,MATCH(ORDER!A55,MASTERDATA!$L$3:$L$302,0))</f>
        <v>#N/A</v>
      </c>
      <c r="C55" s="50" t="e">
        <f>INDEX(MASTERDATA!$W$3:$W$302,MATCH(ORDER!A55,MASTERDATA!$L$3:$L$302,0))</f>
        <v>#N/A</v>
      </c>
      <c r="D55" s="51">
        <f ca="1">DATE(YEAR(BRAND!$B$1),MONTH(BRAND!$B$1)+MASTERDATA!Q55,DAY(1))</f>
        <v>42979</v>
      </c>
      <c r="E55" s="52" t="e">
        <f>INDEX(MASTERDATA!$AF$3:$AF$302,MATCH(ORDER!A55,MASTERDATA!$L$3:$L$302,0))</f>
        <v>#N/A</v>
      </c>
      <c r="F55" s="52" t="e">
        <f>INDEX(MASTERDATA!$AH$3:$AH$302,MATCH(ORDER!A55,MASTERDATA!$L$3:$L$302,0))</f>
        <v>#N/A</v>
      </c>
      <c r="G55" s="76"/>
      <c r="H55" s="113">
        <f t="shared" si="5"/>
        <v>0</v>
      </c>
      <c r="I55" s="79" t="str">
        <f ca="1">IFERROR(VLOOKUP(A55&amp;"New PO-Net QTY",BRAND!$F$5:$X$825,MATCH(ORDER!D55,BRAND!$G$5:$X$5,0)+1,0),"")</f>
        <v/>
      </c>
      <c r="J55" s="53">
        <f t="shared" ca="1" si="6"/>
        <v>0</v>
      </c>
      <c r="K55" s="53">
        <f t="shared" ca="1" si="7"/>
        <v>0</v>
      </c>
      <c r="L55" s="54" t="e">
        <f ca="1">J55*INDEX(MASTERDATA!$AA$3:$AA$302,MATCH(ORDER!A55,MASTERDATA!$L$3:$L$302,0))</f>
        <v>#N/A</v>
      </c>
      <c r="M55" s="55">
        <f ca="1">IFERROR(INDEX(MASTERDATA!$AC$3:$AC$302,MATCH(ORDER!A55,MASTERDATA!$L$3:$L$302,0))*I55,0)</f>
        <v>0</v>
      </c>
      <c r="N55" s="56"/>
      <c r="O55" s="115">
        <f t="shared" si="8"/>
        <v>0</v>
      </c>
      <c r="P55" s="57" t="e">
        <f>INDEX(MASTERDATA!$M$3:$M$302,MATCH(ORDER!A55,MASTERDATA!$L$3:$L$302,0))</f>
        <v>#N/A</v>
      </c>
      <c r="Q55" s="58" t="e">
        <f>INDEX(MASTERDATA!$N$3:$N$302,MATCH(ORDER!A55,MASTERDATA!$L$3:$L$302,0))</f>
        <v>#N/A</v>
      </c>
      <c r="R55" s="57" t="str">
        <f t="shared" si="9"/>
        <v/>
      </c>
      <c r="S55" s="59"/>
      <c r="T55" s="59"/>
      <c r="U55" s="57" t="e">
        <f>INDEX(MASTERDATA!$AA$3:$AA$302,MATCH(ORDER!A55,MASTERDATA!$L$3:$L$302,0))*S55</f>
        <v>#N/A</v>
      </c>
      <c r="V55" s="60">
        <f>IFERROR(INDEX(MASTERDATA!$AC$3:$AC$302,MATCH(ORDER!A55,MASTERDATA!$L$3:$L$302,0))*R55,0)</f>
        <v>0</v>
      </c>
      <c r="W55" s="112" t="str">
        <f ca="1">IF(ISNUMBER(I55),VLOOKUP(A55&amp;"DSI End Period",BRAND!$F$5:$X$815,MATCH(D55,BRAND!$G$5:$X$5)+1,0),"")</f>
        <v/>
      </c>
      <c r="X55" s="61"/>
      <c r="Y55" s="62">
        <f>MASTERDATA!R55</f>
        <v>0</v>
      </c>
      <c r="Z55" s="63" t="e">
        <f>INDEX(MASTERDATA!$S$3:$S$302,MATCH(ORDER!A55,MASTERDATA!$L$3:$L$302,0))</f>
        <v>#N/A</v>
      </c>
      <c r="AA55" s="63" t="e">
        <f>INDEX(MASTERDATA!$U$3:$U$302,MATCH(ORDER!A55,MASTERDATA!$L$3:$L$302,0))</f>
        <v>#N/A</v>
      </c>
      <c r="AB55" s="62" t="e">
        <f>INDEX(MASTERDATA!$H$3:$H$302,MATCH(ORDER!A55,MASTERDATA!$L$3:$L$302,0))</f>
        <v>#N/A</v>
      </c>
      <c r="AC55" s="64"/>
      <c r="AD55" s="29"/>
      <c r="AE55" s="65"/>
      <c r="AF55" s="65"/>
      <c r="AG55" s="65"/>
      <c r="AH55" s="65"/>
      <c r="AI55" s="65"/>
      <c r="AJ55" s="65"/>
      <c r="AK55" s="65"/>
      <c r="AL55" s="65"/>
      <c r="AM55" s="65"/>
    </row>
    <row r="56" spans="1:39" ht="15.75" x14ac:dyDescent="0.3">
      <c r="A56" s="114">
        <f>IF(AND(NOT(MASTERDATA!I56="yes"),NOT(MASTERDATA!K56="yes")),MASTERDATA!L56,"")</f>
        <v>0</v>
      </c>
      <c r="B56" s="49" t="e">
        <f>INDEX(MASTERDATA!$V$3:$V$302,MATCH(ORDER!A56,MASTERDATA!$L$3:$L$302,0))</f>
        <v>#N/A</v>
      </c>
      <c r="C56" s="50" t="e">
        <f>INDEX(MASTERDATA!$W$3:$W$302,MATCH(ORDER!A56,MASTERDATA!$L$3:$L$302,0))</f>
        <v>#N/A</v>
      </c>
      <c r="D56" s="51">
        <f ca="1">DATE(YEAR(BRAND!$B$1),MONTH(BRAND!$B$1)+MASTERDATA!Q56,DAY(1))</f>
        <v>42979</v>
      </c>
      <c r="E56" s="52" t="e">
        <f>INDEX(MASTERDATA!$AF$3:$AF$302,MATCH(ORDER!A56,MASTERDATA!$L$3:$L$302,0))</f>
        <v>#N/A</v>
      </c>
      <c r="F56" s="52" t="e">
        <f>INDEX(MASTERDATA!$AH$3:$AH$302,MATCH(ORDER!A56,MASTERDATA!$L$3:$L$302,0))</f>
        <v>#N/A</v>
      </c>
      <c r="G56" s="76"/>
      <c r="H56" s="113">
        <f t="shared" si="5"/>
        <v>0</v>
      </c>
      <c r="I56" s="79" t="str">
        <f ca="1">IFERROR(VLOOKUP(A56&amp;"New PO-Net QTY",BRAND!$F$5:$X$825,MATCH(ORDER!D56,BRAND!$G$5:$X$5,0)+1,0),"")</f>
        <v/>
      </c>
      <c r="J56" s="53">
        <f t="shared" ca="1" si="6"/>
        <v>0</v>
      </c>
      <c r="K56" s="53">
        <f t="shared" ca="1" si="7"/>
        <v>0</v>
      </c>
      <c r="L56" s="54" t="e">
        <f ca="1">J56*INDEX(MASTERDATA!$AA$3:$AA$302,MATCH(ORDER!A56,MASTERDATA!$L$3:$L$302,0))</f>
        <v>#N/A</v>
      </c>
      <c r="M56" s="55">
        <f ca="1">IFERROR(INDEX(MASTERDATA!$AC$3:$AC$302,MATCH(ORDER!A56,MASTERDATA!$L$3:$L$302,0))*I56,0)</f>
        <v>0</v>
      </c>
      <c r="N56" s="56"/>
      <c r="O56" s="115">
        <f t="shared" si="8"/>
        <v>0</v>
      </c>
      <c r="P56" s="57" t="e">
        <f>INDEX(MASTERDATA!$M$3:$M$302,MATCH(ORDER!A56,MASTERDATA!$L$3:$L$302,0))</f>
        <v>#N/A</v>
      </c>
      <c r="Q56" s="58" t="e">
        <f>INDEX(MASTERDATA!$N$3:$N$302,MATCH(ORDER!A56,MASTERDATA!$L$3:$L$302,0))</f>
        <v>#N/A</v>
      </c>
      <c r="R56" s="57" t="str">
        <f t="shared" si="9"/>
        <v/>
      </c>
      <c r="S56" s="59"/>
      <c r="T56" s="59"/>
      <c r="U56" s="57" t="e">
        <f>INDEX(MASTERDATA!$AA$3:$AA$302,MATCH(ORDER!A56,MASTERDATA!$L$3:$L$302,0))*S56</f>
        <v>#N/A</v>
      </c>
      <c r="V56" s="60">
        <f>IFERROR(INDEX(MASTERDATA!$AC$3:$AC$302,MATCH(ORDER!A56,MASTERDATA!$L$3:$L$302,0))*R56,0)</f>
        <v>0</v>
      </c>
      <c r="W56" s="112" t="str">
        <f ca="1">IF(ISNUMBER(I56),VLOOKUP(A56&amp;"DSI End Period",BRAND!$F$5:$X$815,MATCH(D56,BRAND!$G$5:$X$5)+1,0),"")</f>
        <v/>
      </c>
      <c r="X56" s="61"/>
      <c r="Y56" s="62">
        <f>MASTERDATA!R56</f>
        <v>0</v>
      </c>
      <c r="Z56" s="63" t="e">
        <f>INDEX(MASTERDATA!$S$3:$S$302,MATCH(ORDER!A56,MASTERDATA!$L$3:$L$302,0))</f>
        <v>#N/A</v>
      </c>
      <c r="AA56" s="63" t="e">
        <f>INDEX(MASTERDATA!$U$3:$U$302,MATCH(ORDER!A56,MASTERDATA!$L$3:$L$302,0))</f>
        <v>#N/A</v>
      </c>
      <c r="AB56" s="62" t="e">
        <f>INDEX(MASTERDATA!$H$3:$H$302,MATCH(ORDER!A56,MASTERDATA!$L$3:$L$302,0))</f>
        <v>#N/A</v>
      </c>
    </row>
    <row r="57" spans="1:39" ht="15.75" x14ac:dyDescent="0.3">
      <c r="A57" s="114">
        <f>IF(AND(NOT(MASTERDATA!I57="yes"),NOT(MASTERDATA!K57="yes")),MASTERDATA!L57,"")</f>
        <v>0</v>
      </c>
      <c r="B57" s="49" t="e">
        <f>INDEX(MASTERDATA!$V$3:$V$302,MATCH(ORDER!A57,MASTERDATA!$L$3:$L$302,0))</f>
        <v>#N/A</v>
      </c>
      <c r="C57" s="50" t="e">
        <f>INDEX(MASTERDATA!$W$3:$W$302,MATCH(ORDER!A57,MASTERDATA!$L$3:$L$302,0))</f>
        <v>#N/A</v>
      </c>
      <c r="D57" s="51">
        <f ca="1">DATE(YEAR(BRAND!$B$1),MONTH(BRAND!$B$1)+MASTERDATA!Q57,DAY(1))</f>
        <v>42979</v>
      </c>
      <c r="E57" s="52" t="e">
        <f>INDEX(MASTERDATA!$AF$3:$AF$302,MATCH(ORDER!A57,MASTERDATA!$L$3:$L$302,0))</f>
        <v>#N/A</v>
      </c>
      <c r="F57" s="52" t="e">
        <f>INDEX(MASTERDATA!$AH$3:$AH$302,MATCH(ORDER!A57,MASTERDATA!$L$3:$L$302,0))</f>
        <v>#N/A</v>
      </c>
      <c r="G57" s="76"/>
      <c r="H57" s="113">
        <f t="shared" si="5"/>
        <v>0</v>
      </c>
      <c r="I57" s="79" t="str">
        <f ca="1">IFERROR(VLOOKUP(A57&amp;"New PO-Net QTY",BRAND!$F$5:$X$825,MATCH(ORDER!D57,BRAND!$G$5:$X$5,0)+1,0),"")</f>
        <v/>
      </c>
      <c r="J57" s="53">
        <f t="shared" ca="1" si="6"/>
        <v>0</v>
      </c>
      <c r="K57" s="53">
        <f t="shared" ca="1" si="7"/>
        <v>0</v>
      </c>
      <c r="L57" s="54" t="e">
        <f ca="1">J57*INDEX(MASTERDATA!$AA$3:$AA$302,MATCH(ORDER!A57,MASTERDATA!$L$3:$L$302,0))</f>
        <v>#N/A</v>
      </c>
      <c r="M57" s="55">
        <f ca="1">IFERROR(INDEX(MASTERDATA!$AC$3:$AC$302,MATCH(ORDER!A57,MASTERDATA!$L$3:$L$302,0))*I57,0)</f>
        <v>0</v>
      </c>
      <c r="N57" s="56"/>
      <c r="O57" s="115">
        <f t="shared" si="8"/>
        <v>0</v>
      </c>
      <c r="P57" s="57" t="e">
        <f>INDEX(MASTERDATA!$M$3:$M$302,MATCH(ORDER!A57,MASTERDATA!$L$3:$L$302,0))</f>
        <v>#N/A</v>
      </c>
      <c r="Q57" s="58" t="e">
        <f>INDEX(MASTERDATA!$N$3:$N$302,MATCH(ORDER!A57,MASTERDATA!$L$3:$L$302,0))</f>
        <v>#N/A</v>
      </c>
      <c r="R57" s="57" t="str">
        <f t="shared" si="9"/>
        <v/>
      </c>
      <c r="S57" s="59"/>
      <c r="T57" s="59"/>
      <c r="U57" s="57" t="e">
        <f>INDEX(MASTERDATA!$AA$3:$AA$302,MATCH(ORDER!A57,MASTERDATA!$L$3:$L$302,0))*S57</f>
        <v>#N/A</v>
      </c>
      <c r="V57" s="60">
        <f>IFERROR(INDEX(MASTERDATA!$AC$3:$AC$302,MATCH(ORDER!A57,MASTERDATA!$L$3:$L$302,0))*R57,0)</f>
        <v>0</v>
      </c>
      <c r="W57" s="112" t="str">
        <f ca="1">IF(ISNUMBER(I57),VLOOKUP(A57&amp;"DSI End Period",BRAND!$F$5:$X$815,MATCH(D57,BRAND!$G$5:$X$5)+1,0),"")</f>
        <v/>
      </c>
      <c r="X57" s="61"/>
      <c r="Y57" s="62">
        <f>MASTERDATA!R57</f>
        <v>0</v>
      </c>
      <c r="Z57" s="63" t="e">
        <f>INDEX(MASTERDATA!$S$3:$S$302,MATCH(ORDER!A57,MASTERDATA!$L$3:$L$302,0))</f>
        <v>#N/A</v>
      </c>
      <c r="AA57" s="63" t="e">
        <f>INDEX(MASTERDATA!$U$3:$U$302,MATCH(ORDER!A57,MASTERDATA!$L$3:$L$302,0))</f>
        <v>#N/A</v>
      </c>
      <c r="AB57" s="62" t="e">
        <f>INDEX(MASTERDATA!$H$3:$H$302,MATCH(ORDER!A57,MASTERDATA!$L$3:$L$302,0))</f>
        <v>#N/A</v>
      </c>
    </row>
    <row r="58" spans="1:39" ht="15.75" hidden="1" x14ac:dyDescent="0.3">
      <c r="A58" s="114">
        <f>IF(AND(NOT(MASTERDATA!I58="yes"),NOT(MASTERDATA!K58="yes")),MASTERDATA!L58,"")</f>
        <v>0</v>
      </c>
      <c r="B58" s="49" t="e">
        <f>INDEX(MASTERDATA!$V$3:$V$302,MATCH(ORDER!A58,MASTERDATA!$L$3:$L$302,0))</f>
        <v>#N/A</v>
      </c>
      <c r="C58" s="50" t="e">
        <f>INDEX(MASTERDATA!$W$3:$W$302,MATCH(ORDER!A58,MASTERDATA!$L$3:$L$302,0))</f>
        <v>#N/A</v>
      </c>
      <c r="D58" s="51">
        <f ca="1">DATE(YEAR(BRAND!$B$1),MONTH(BRAND!$B$1)+MASTERDATA!Q58,DAY(1))</f>
        <v>42979</v>
      </c>
      <c r="E58" s="52" t="e">
        <f>INDEX(MASTERDATA!$AF$3:$AF$302,MATCH(ORDER!A58,MASTERDATA!$L$3:$L$302,0))</f>
        <v>#N/A</v>
      </c>
      <c r="F58" s="52" t="e">
        <f>INDEX(MASTERDATA!$AH$3:$AH$302,MATCH(ORDER!A58,MASTERDATA!$L$3:$L$302,0))</f>
        <v>#N/A</v>
      </c>
      <c r="G58" s="76"/>
      <c r="H58" s="113">
        <f t="shared" si="5"/>
        <v>0</v>
      </c>
      <c r="I58" s="79" t="str">
        <f ca="1">IFERROR(VLOOKUP(A58&amp;"New PO-Net QTY",BRAND!$F$5:$X$825,MATCH(ORDER!D58,BRAND!$G$5:$X$5,0)+1,0),"")</f>
        <v/>
      </c>
      <c r="J58" s="53">
        <f t="shared" ca="1" si="6"/>
        <v>0</v>
      </c>
      <c r="K58" s="53">
        <f t="shared" ca="1" si="7"/>
        <v>0</v>
      </c>
      <c r="L58" s="54" t="e">
        <f ca="1">J58*INDEX(MASTERDATA!$AA$3:$AA$302,MATCH(ORDER!A58,MASTERDATA!$L$3:$L$302,0))</f>
        <v>#N/A</v>
      </c>
      <c r="M58" s="55">
        <f ca="1">IFERROR(INDEX(MASTERDATA!$AC$3:$AC$302,MATCH(ORDER!A58,MASTERDATA!$L$3:$L$302,0))*I58,0)</f>
        <v>0</v>
      </c>
      <c r="N58" s="56"/>
      <c r="O58" s="115">
        <f t="shared" si="8"/>
        <v>0</v>
      </c>
      <c r="P58" s="57" t="e">
        <f>INDEX(MASTERDATA!$M$3:$M$302,MATCH(ORDER!A58,MASTERDATA!$L$3:$L$302,0))</f>
        <v>#N/A</v>
      </c>
      <c r="Q58" s="58" t="e">
        <f>INDEX(MASTERDATA!$N$3:$N$302,MATCH(ORDER!A58,MASTERDATA!$L$3:$L$302,0))</f>
        <v>#N/A</v>
      </c>
      <c r="R58" s="57" t="str">
        <f t="shared" si="9"/>
        <v/>
      </c>
      <c r="S58" s="59"/>
      <c r="T58" s="59"/>
      <c r="U58" s="57" t="e">
        <f>INDEX(MASTERDATA!$AA$3:$AA$302,MATCH(ORDER!A58,MASTERDATA!$L$3:$L$302,0))*S58</f>
        <v>#N/A</v>
      </c>
      <c r="V58" s="60">
        <f>IFERROR(INDEX(MASTERDATA!$AC$3:$AC$302,MATCH(ORDER!A58,MASTERDATA!$L$3:$L$302,0))*R58,0)</f>
        <v>0</v>
      </c>
      <c r="W58" s="112" t="str">
        <f ca="1">IF(ISNUMBER(I58),VLOOKUP(A58&amp;"DSI End Period",BRAND!$F$5:$X$815,MATCH(D58,BRAND!$G$5:$X$5)+1,0),"")</f>
        <v/>
      </c>
      <c r="X58" s="61"/>
      <c r="Y58" s="62">
        <f>MASTERDATA!R58</f>
        <v>0</v>
      </c>
      <c r="Z58" s="63" t="e">
        <f>INDEX(MASTERDATA!$S$3:$S$302,MATCH(ORDER!A58,MASTERDATA!$L$3:$L$302,0))</f>
        <v>#N/A</v>
      </c>
      <c r="AA58" s="63" t="e">
        <f>INDEX(MASTERDATA!$U$3:$U$302,MATCH(ORDER!A58,MASTERDATA!$L$3:$L$302,0))</f>
        <v>#N/A</v>
      </c>
      <c r="AB58" s="62" t="e">
        <f>INDEX(MASTERDATA!$H$3:$H$302,MATCH(ORDER!A58,MASTERDATA!$L$3:$L$302,0))</f>
        <v>#N/A</v>
      </c>
      <c r="AC58" s="64"/>
      <c r="AD58" s="29"/>
      <c r="AE58" s="65"/>
      <c r="AF58" s="65"/>
      <c r="AG58" s="65"/>
      <c r="AH58" s="65"/>
      <c r="AI58" s="65"/>
      <c r="AJ58" s="65"/>
      <c r="AK58" s="65"/>
      <c r="AL58" s="65"/>
      <c r="AM58" s="65"/>
    </row>
    <row r="59" spans="1:39" ht="15.75" hidden="1" x14ac:dyDescent="0.3">
      <c r="A59" s="114">
        <f>IF(AND(NOT(MASTERDATA!I59="yes"),NOT(MASTERDATA!K59="yes")),MASTERDATA!L59,"")</f>
        <v>0</v>
      </c>
      <c r="B59" s="49" t="e">
        <f>INDEX(MASTERDATA!$V$3:$V$302,MATCH(ORDER!A59,MASTERDATA!$L$3:$L$302,0))</f>
        <v>#N/A</v>
      </c>
      <c r="C59" s="50" t="e">
        <f>INDEX(MASTERDATA!$W$3:$W$302,MATCH(ORDER!A59,MASTERDATA!$L$3:$L$302,0))</f>
        <v>#N/A</v>
      </c>
      <c r="D59" s="51">
        <f ca="1">DATE(YEAR(BRAND!$B$1),MONTH(BRAND!$B$1)+MASTERDATA!Q59,DAY(1))</f>
        <v>42979</v>
      </c>
      <c r="E59" s="52" t="e">
        <f>INDEX(MASTERDATA!$AF$3:$AF$302,MATCH(ORDER!A59,MASTERDATA!$L$3:$L$302,0))</f>
        <v>#N/A</v>
      </c>
      <c r="F59" s="52" t="e">
        <f>INDEX(MASTERDATA!$AH$3:$AH$302,MATCH(ORDER!A59,MASTERDATA!$L$3:$L$302,0))</f>
        <v>#N/A</v>
      </c>
      <c r="G59" s="76"/>
      <c r="H59" s="113">
        <f t="shared" si="5"/>
        <v>0</v>
      </c>
      <c r="I59" s="79" t="str">
        <f ca="1">IFERROR(VLOOKUP(A59&amp;"New PO-Net QTY",BRAND!$F$5:$X$825,MATCH(ORDER!D59,BRAND!$G$5:$X$5,0)+1,0),"")</f>
        <v/>
      </c>
      <c r="J59" s="53">
        <f t="shared" ca="1" si="6"/>
        <v>0</v>
      </c>
      <c r="K59" s="53">
        <f t="shared" ca="1" si="7"/>
        <v>0</v>
      </c>
      <c r="L59" s="54" t="e">
        <f ca="1">J59*INDEX(MASTERDATA!$AA$3:$AA$302,MATCH(ORDER!A59,MASTERDATA!$L$3:$L$302,0))</f>
        <v>#N/A</v>
      </c>
      <c r="M59" s="55">
        <f ca="1">IFERROR(INDEX(MASTERDATA!$AC$3:$AC$302,MATCH(ORDER!A59,MASTERDATA!$L$3:$L$302,0))*I59,0)</f>
        <v>0</v>
      </c>
      <c r="N59" s="56"/>
      <c r="O59" s="115">
        <f t="shared" si="8"/>
        <v>0</v>
      </c>
      <c r="P59" s="57" t="e">
        <f>INDEX(MASTERDATA!$M$3:$M$302,MATCH(ORDER!A59,MASTERDATA!$L$3:$L$302,0))</f>
        <v>#N/A</v>
      </c>
      <c r="Q59" s="58" t="e">
        <f>INDEX(MASTERDATA!$N$3:$N$302,MATCH(ORDER!A59,MASTERDATA!$L$3:$L$302,0))</f>
        <v>#N/A</v>
      </c>
      <c r="R59" s="57" t="str">
        <f t="shared" si="9"/>
        <v/>
      </c>
      <c r="S59" s="59"/>
      <c r="T59" s="59"/>
      <c r="U59" s="57" t="e">
        <f>INDEX(MASTERDATA!$AA$3:$AA$302,MATCH(ORDER!A59,MASTERDATA!$L$3:$L$302,0))*S59</f>
        <v>#N/A</v>
      </c>
      <c r="V59" s="60">
        <f>IFERROR(INDEX(MASTERDATA!$AC$3:$AC$302,MATCH(ORDER!A59,MASTERDATA!$L$3:$L$302,0))*R59,0)</f>
        <v>0</v>
      </c>
      <c r="W59" s="112" t="str">
        <f ca="1">IF(ISNUMBER(I59),VLOOKUP(A59&amp;"DSI End Period",BRAND!$F$5:$X$815,MATCH(D59,BRAND!$G$5:$X$5)+1,0),"")</f>
        <v/>
      </c>
      <c r="X59" s="61"/>
      <c r="Y59" s="62">
        <f>MASTERDATA!R59</f>
        <v>0</v>
      </c>
      <c r="Z59" s="63" t="e">
        <f>INDEX(MASTERDATA!$S$3:$S$302,MATCH(ORDER!A59,MASTERDATA!$L$3:$L$302,0))</f>
        <v>#N/A</v>
      </c>
      <c r="AA59" s="63" t="e">
        <f>INDEX(MASTERDATA!$U$3:$U$302,MATCH(ORDER!A59,MASTERDATA!$L$3:$L$302,0))</f>
        <v>#N/A</v>
      </c>
      <c r="AB59" s="62" t="e">
        <f>INDEX(MASTERDATA!$H$3:$H$302,MATCH(ORDER!A59,MASTERDATA!$L$3:$L$302,0))</f>
        <v>#N/A</v>
      </c>
      <c r="AC59" s="64"/>
      <c r="AD59" s="29"/>
      <c r="AE59" s="65"/>
      <c r="AF59" s="65"/>
      <c r="AG59" s="65"/>
      <c r="AH59" s="65"/>
      <c r="AI59" s="65"/>
      <c r="AJ59" s="65"/>
      <c r="AK59" s="65"/>
      <c r="AL59" s="65"/>
      <c r="AM59" s="65"/>
    </row>
    <row r="60" spans="1:39" ht="15.75" hidden="1" x14ac:dyDescent="0.3">
      <c r="A60" s="114">
        <f>IF(AND(NOT(MASTERDATA!I60="yes"),NOT(MASTERDATA!K60="yes")),MASTERDATA!L60,"")</f>
        <v>0</v>
      </c>
      <c r="B60" s="49" t="e">
        <f>INDEX(MASTERDATA!$V$3:$V$302,MATCH(ORDER!A60,MASTERDATA!$L$3:$L$302,0))</f>
        <v>#N/A</v>
      </c>
      <c r="C60" s="50" t="e">
        <f>INDEX(MASTERDATA!$W$3:$W$302,MATCH(ORDER!A60,MASTERDATA!$L$3:$L$302,0))</f>
        <v>#N/A</v>
      </c>
      <c r="D60" s="51">
        <f ca="1">DATE(YEAR(BRAND!$B$1),MONTH(BRAND!$B$1)+MASTERDATA!Q60,DAY(1))</f>
        <v>42979</v>
      </c>
      <c r="E60" s="52" t="e">
        <f>INDEX(MASTERDATA!$AF$3:$AF$302,MATCH(ORDER!A60,MASTERDATA!$L$3:$L$302,0))</f>
        <v>#N/A</v>
      </c>
      <c r="F60" s="52" t="e">
        <f>INDEX(MASTERDATA!$AH$3:$AH$302,MATCH(ORDER!A60,MASTERDATA!$L$3:$L$302,0))</f>
        <v>#N/A</v>
      </c>
      <c r="G60" s="76"/>
      <c r="H60" s="113">
        <f t="shared" si="5"/>
        <v>0</v>
      </c>
      <c r="I60" s="79" t="str">
        <f ca="1">IFERROR(VLOOKUP(A60&amp;"New PO-Net QTY",BRAND!$F$5:$X$825,MATCH(ORDER!D60,BRAND!$G$5:$X$5,0)+1,0),"")</f>
        <v/>
      </c>
      <c r="J60" s="53">
        <f t="shared" ca="1" si="6"/>
        <v>0</v>
      </c>
      <c r="K60" s="53">
        <f t="shared" ca="1" si="7"/>
        <v>0</v>
      </c>
      <c r="L60" s="54" t="e">
        <f ca="1">J60*INDEX(MASTERDATA!$AA$3:$AA$302,MATCH(ORDER!A60,MASTERDATA!$L$3:$L$302,0))</f>
        <v>#N/A</v>
      </c>
      <c r="M60" s="55">
        <f ca="1">IFERROR(INDEX(MASTERDATA!$AC$3:$AC$302,MATCH(ORDER!A60,MASTERDATA!$L$3:$L$302,0))*I60,0)</f>
        <v>0</v>
      </c>
      <c r="N60" s="56"/>
      <c r="O60" s="115">
        <f t="shared" si="8"/>
        <v>0</v>
      </c>
      <c r="P60" s="57" t="e">
        <f>INDEX(MASTERDATA!$M$3:$M$302,MATCH(ORDER!A60,MASTERDATA!$L$3:$L$302,0))</f>
        <v>#N/A</v>
      </c>
      <c r="Q60" s="58" t="e">
        <f>INDEX(MASTERDATA!$N$3:$N$302,MATCH(ORDER!A60,MASTERDATA!$L$3:$L$302,0))</f>
        <v>#N/A</v>
      </c>
      <c r="R60" s="57" t="str">
        <f t="shared" si="9"/>
        <v/>
      </c>
      <c r="S60" s="59"/>
      <c r="T60" s="59"/>
      <c r="U60" s="57" t="e">
        <f>INDEX(MASTERDATA!$AA$3:$AA$302,MATCH(ORDER!A60,MASTERDATA!$L$3:$L$302,0))*S60</f>
        <v>#N/A</v>
      </c>
      <c r="V60" s="60">
        <f>IFERROR(INDEX(MASTERDATA!$AC$3:$AC$302,MATCH(ORDER!A60,MASTERDATA!$L$3:$L$302,0))*R60,0)</f>
        <v>0</v>
      </c>
      <c r="W60" s="112" t="str">
        <f ca="1">IF(ISNUMBER(I60),VLOOKUP(A60&amp;"DSI End Period",BRAND!$F$5:$X$815,MATCH(D60,BRAND!$G$5:$X$5)+1,0),"")</f>
        <v/>
      </c>
      <c r="X60" s="61"/>
      <c r="Y60" s="62">
        <f>MASTERDATA!R60</f>
        <v>0</v>
      </c>
      <c r="Z60" s="63" t="e">
        <f>INDEX(MASTERDATA!$S$3:$S$302,MATCH(ORDER!A60,MASTERDATA!$L$3:$L$302,0))</f>
        <v>#N/A</v>
      </c>
      <c r="AA60" s="63" t="e">
        <f>INDEX(MASTERDATA!$U$3:$U$302,MATCH(ORDER!A60,MASTERDATA!$L$3:$L$302,0))</f>
        <v>#N/A</v>
      </c>
      <c r="AB60" s="62" t="e">
        <f>INDEX(MASTERDATA!$H$3:$H$302,MATCH(ORDER!A60,MASTERDATA!$L$3:$L$302,0))</f>
        <v>#N/A</v>
      </c>
      <c r="AC60" s="64"/>
      <c r="AD60" s="29"/>
      <c r="AE60" s="65"/>
      <c r="AF60" s="65"/>
      <c r="AG60" s="65"/>
      <c r="AH60" s="65"/>
      <c r="AI60" s="65"/>
      <c r="AJ60" s="65"/>
      <c r="AK60" s="65"/>
      <c r="AL60" s="65"/>
      <c r="AM60" s="65"/>
    </row>
    <row r="61" spans="1:39" ht="15.75" hidden="1" x14ac:dyDescent="0.3">
      <c r="A61" s="114">
        <f>IF(AND(NOT(MASTERDATA!I61="yes"),NOT(MASTERDATA!K61="yes")),MASTERDATA!L61,"")</f>
        <v>0</v>
      </c>
      <c r="B61" s="49" t="e">
        <f>INDEX(MASTERDATA!$V$3:$V$302,MATCH(ORDER!A61,MASTERDATA!$L$3:$L$302,0))</f>
        <v>#N/A</v>
      </c>
      <c r="C61" s="50" t="e">
        <f>INDEX(MASTERDATA!$W$3:$W$302,MATCH(ORDER!A61,MASTERDATA!$L$3:$L$302,0))</f>
        <v>#N/A</v>
      </c>
      <c r="D61" s="51">
        <f ca="1">DATE(YEAR(BRAND!$B$1),MONTH(BRAND!$B$1)+MASTERDATA!Q61,DAY(1))</f>
        <v>42979</v>
      </c>
      <c r="E61" s="52" t="e">
        <f>INDEX(MASTERDATA!$AF$3:$AF$302,MATCH(ORDER!A61,MASTERDATA!$L$3:$L$302,0))</f>
        <v>#N/A</v>
      </c>
      <c r="F61" s="52" t="e">
        <f>INDEX(MASTERDATA!$AH$3:$AH$302,MATCH(ORDER!A61,MASTERDATA!$L$3:$L$302,0))</f>
        <v>#N/A</v>
      </c>
      <c r="G61" s="76"/>
      <c r="H61" s="113">
        <f t="shared" si="5"/>
        <v>0</v>
      </c>
      <c r="I61" s="79" t="str">
        <f ca="1">IFERROR(VLOOKUP(A61&amp;"New PO-Net QTY",BRAND!$F$5:$X$825,MATCH(ORDER!D61,BRAND!$G$5:$X$5,0)+1,0),"")</f>
        <v/>
      </c>
      <c r="J61" s="53">
        <f t="shared" ca="1" si="6"/>
        <v>0</v>
      </c>
      <c r="K61" s="53">
        <f t="shared" ca="1" si="7"/>
        <v>0</v>
      </c>
      <c r="L61" s="54" t="e">
        <f ca="1">J61*INDEX(MASTERDATA!$AA$3:$AA$302,MATCH(ORDER!A61,MASTERDATA!$L$3:$L$302,0))</f>
        <v>#N/A</v>
      </c>
      <c r="M61" s="55">
        <f ca="1">IFERROR(INDEX(MASTERDATA!$AC$3:$AC$302,MATCH(ORDER!A61,MASTERDATA!$L$3:$L$302,0))*I61,0)</f>
        <v>0</v>
      </c>
      <c r="N61" s="56"/>
      <c r="O61" s="115">
        <f t="shared" si="8"/>
        <v>0</v>
      </c>
      <c r="P61" s="57" t="e">
        <f>INDEX(MASTERDATA!$M$3:$M$302,MATCH(ORDER!A61,MASTERDATA!$L$3:$L$302,0))</f>
        <v>#N/A</v>
      </c>
      <c r="Q61" s="58" t="e">
        <f>INDEX(MASTERDATA!$N$3:$N$302,MATCH(ORDER!A61,MASTERDATA!$L$3:$L$302,0))</f>
        <v>#N/A</v>
      </c>
      <c r="R61" s="57" t="str">
        <f t="shared" si="9"/>
        <v/>
      </c>
      <c r="S61" s="59"/>
      <c r="T61" s="59"/>
      <c r="U61" s="57" t="e">
        <f>INDEX(MASTERDATA!$AA$3:$AA$302,MATCH(ORDER!A61,MASTERDATA!$L$3:$L$302,0))*S61</f>
        <v>#N/A</v>
      </c>
      <c r="V61" s="60">
        <f>IFERROR(INDEX(MASTERDATA!$AC$3:$AC$302,MATCH(ORDER!A61,MASTERDATA!$L$3:$L$302,0))*R61,0)</f>
        <v>0</v>
      </c>
      <c r="W61" s="112" t="str">
        <f ca="1">IF(ISNUMBER(I61),VLOOKUP(A61&amp;"DSI End Period",BRAND!$F$5:$X$815,MATCH(D61,BRAND!$G$5:$X$5)+1,0),"")</f>
        <v/>
      </c>
      <c r="X61" s="61"/>
      <c r="Y61" s="62">
        <f>MASTERDATA!R61</f>
        <v>0</v>
      </c>
      <c r="Z61" s="63" t="e">
        <f>INDEX(MASTERDATA!$S$3:$S$302,MATCH(ORDER!A61,MASTERDATA!$L$3:$L$302,0))</f>
        <v>#N/A</v>
      </c>
      <c r="AA61" s="63" t="e">
        <f>INDEX(MASTERDATA!$U$3:$U$302,MATCH(ORDER!A61,MASTERDATA!$L$3:$L$302,0))</f>
        <v>#N/A</v>
      </c>
      <c r="AB61" s="62" t="e">
        <f>INDEX(MASTERDATA!$H$3:$H$302,MATCH(ORDER!A61,MASTERDATA!$L$3:$L$302,0))</f>
        <v>#N/A</v>
      </c>
      <c r="AC61" s="64"/>
      <c r="AD61" s="29"/>
      <c r="AE61" s="65"/>
      <c r="AF61" s="65"/>
      <c r="AG61" s="65"/>
      <c r="AH61" s="65"/>
      <c r="AI61" s="65"/>
      <c r="AJ61" s="65"/>
      <c r="AK61" s="65"/>
      <c r="AL61" s="65"/>
      <c r="AM61" s="65"/>
    </row>
    <row r="62" spans="1:39" ht="15.75" hidden="1" x14ac:dyDescent="0.3">
      <c r="A62" s="114">
        <f>IF(AND(NOT(MASTERDATA!I62="yes"),NOT(MASTERDATA!K62="yes")),MASTERDATA!L62,"")</f>
        <v>0</v>
      </c>
      <c r="B62" s="49" t="e">
        <f>INDEX(MASTERDATA!$V$3:$V$302,MATCH(ORDER!A62,MASTERDATA!$L$3:$L$302,0))</f>
        <v>#N/A</v>
      </c>
      <c r="C62" s="50" t="e">
        <f>INDEX(MASTERDATA!$W$3:$W$302,MATCH(ORDER!A62,MASTERDATA!$L$3:$L$302,0))</f>
        <v>#N/A</v>
      </c>
      <c r="D62" s="51">
        <f ca="1">DATE(YEAR(BRAND!$B$1),MONTH(BRAND!$B$1)+MASTERDATA!Q62,DAY(1))</f>
        <v>42979</v>
      </c>
      <c r="E62" s="52" t="e">
        <f>INDEX(MASTERDATA!$AF$3:$AF$302,MATCH(ORDER!A62,MASTERDATA!$L$3:$L$302,0))</f>
        <v>#N/A</v>
      </c>
      <c r="F62" s="52" t="e">
        <f>INDEX(MASTERDATA!$AH$3:$AH$302,MATCH(ORDER!A62,MASTERDATA!$L$3:$L$302,0))</f>
        <v>#N/A</v>
      </c>
      <c r="G62" s="76"/>
      <c r="H62" s="113">
        <f t="shared" si="5"/>
        <v>0</v>
      </c>
      <c r="I62" s="79" t="str">
        <f ca="1">IFERROR(VLOOKUP(A62&amp;"New PO-Net QTY",BRAND!$F$5:$X$825,MATCH(ORDER!D62,BRAND!$G$5:$X$5,0)+1,0),"")</f>
        <v/>
      </c>
      <c r="J62" s="53">
        <f t="shared" ca="1" si="6"/>
        <v>0</v>
      </c>
      <c r="K62" s="53">
        <f t="shared" ca="1" si="7"/>
        <v>0</v>
      </c>
      <c r="L62" s="54" t="e">
        <f ca="1">J62*INDEX(MASTERDATA!$AA$3:$AA$302,MATCH(ORDER!A62,MASTERDATA!$L$3:$L$302,0))</f>
        <v>#N/A</v>
      </c>
      <c r="M62" s="55">
        <f ca="1">IFERROR(INDEX(MASTERDATA!$AC$3:$AC$302,MATCH(ORDER!A62,MASTERDATA!$L$3:$L$302,0))*I62,0)</f>
        <v>0</v>
      </c>
      <c r="N62" s="56"/>
      <c r="O62" s="115">
        <f t="shared" si="8"/>
        <v>0</v>
      </c>
      <c r="P62" s="57" t="e">
        <f>INDEX(MASTERDATA!$M$3:$M$302,MATCH(ORDER!A62,MASTERDATA!$L$3:$L$302,0))</f>
        <v>#N/A</v>
      </c>
      <c r="Q62" s="58" t="e">
        <f>INDEX(MASTERDATA!$N$3:$N$302,MATCH(ORDER!A62,MASTERDATA!$L$3:$L$302,0))</f>
        <v>#N/A</v>
      </c>
      <c r="R62" s="57" t="str">
        <f t="shared" si="9"/>
        <v/>
      </c>
      <c r="S62" s="59"/>
      <c r="T62" s="59"/>
      <c r="U62" s="57" t="e">
        <f>INDEX(MASTERDATA!$AA$3:$AA$302,MATCH(ORDER!A62,MASTERDATA!$L$3:$L$302,0))*S62</f>
        <v>#N/A</v>
      </c>
      <c r="V62" s="60">
        <f>IFERROR(INDEX(MASTERDATA!$AC$3:$AC$302,MATCH(ORDER!A62,MASTERDATA!$L$3:$L$302,0))*R62,0)</f>
        <v>0</v>
      </c>
      <c r="W62" s="112" t="str">
        <f ca="1">IF(ISNUMBER(I62),VLOOKUP(A62&amp;"DSI End Period",BRAND!$F$5:$X$815,MATCH(D62,BRAND!$G$5:$X$5)+1,0),"")</f>
        <v/>
      </c>
      <c r="X62" s="61"/>
      <c r="Y62" s="62">
        <f>MASTERDATA!R62</f>
        <v>0</v>
      </c>
      <c r="Z62" s="63" t="e">
        <f>INDEX(MASTERDATA!$S$3:$S$302,MATCH(ORDER!A62,MASTERDATA!$L$3:$L$302,0))</f>
        <v>#N/A</v>
      </c>
      <c r="AA62" s="63" t="e">
        <f>INDEX(MASTERDATA!$U$3:$U$302,MATCH(ORDER!A62,MASTERDATA!$L$3:$L$302,0))</f>
        <v>#N/A</v>
      </c>
      <c r="AB62" s="62" t="e">
        <f>INDEX(MASTERDATA!$H$3:$H$302,MATCH(ORDER!A62,MASTERDATA!$L$3:$L$302,0))</f>
        <v>#N/A</v>
      </c>
      <c r="AC62" s="64"/>
      <c r="AD62" s="29"/>
      <c r="AE62" s="65"/>
      <c r="AF62" s="65"/>
      <c r="AG62" s="65"/>
      <c r="AH62" s="65"/>
      <c r="AI62" s="65"/>
      <c r="AJ62" s="65"/>
      <c r="AK62" s="65"/>
      <c r="AL62" s="65"/>
      <c r="AM62" s="65"/>
    </row>
    <row r="63" spans="1:39" ht="15.75" hidden="1" x14ac:dyDescent="0.3">
      <c r="A63" s="114">
        <f>IF(AND(NOT(MASTERDATA!I63="yes"),NOT(MASTERDATA!K63="yes")),MASTERDATA!L63,"")</f>
        <v>0</v>
      </c>
      <c r="B63" s="49" t="e">
        <f>INDEX(MASTERDATA!$V$3:$V$302,MATCH(ORDER!A63,MASTERDATA!$L$3:$L$302,0))</f>
        <v>#N/A</v>
      </c>
      <c r="C63" s="50" t="e">
        <f>INDEX(MASTERDATA!$W$3:$W$302,MATCH(ORDER!A63,MASTERDATA!$L$3:$L$302,0))</f>
        <v>#N/A</v>
      </c>
      <c r="D63" s="51">
        <f ca="1">DATE(YEAR(BRAND!$B$1),MONTH(BRAND!$B$1)+MASTERDATA!Q63,DAY(1))</f>
        <v>42979</v>
      </c>
      <c r="E63" s="52" t="e">
        <f>INDEX(MASTERDATA!$AF$3:$AF$302,MATCH(ORDER!A63,MASTERDATA!$L$3:$L$302,0))</f>
        <v>#N/A</v>
      </c>
      <c r="F63" s="52" t="e">
        <f>INDEX(MASTERDATA!$AH$3:$AH$302,MATCH(ORDER!A63,MASTERDATA!$L$3:$L$302,0))</f>
        <v>#N/A</v>
      </c>
      <c r="G63" s="76"/>
      <c r="H63" s="113">
        <f t="shared" si="5"/>
        <v>0</v>
      </c>
      <c r="I63" s="79" t="str">
        <f ca="1">IFERROR(VLOOKUP(A63&amp;"New PO-Net QTY",BRAND!$F$5:$X$825,MATCH(ORDER!D63,BRAND!$G$5:$X$5,0)+1,0),"")</f>
        <v/>
      </c>
      <c r="J63" s="53">
        <f t="shared" ca="1" si="6"/>
        <v>0</v>
      </c>
      <c r="K63" s="53">
        <f t="shared" ca="1" si="7"/>
        <v>0</v>
      </c>
      <c r="L63" s="54" t="e">
        <f ca="1">J63*INDEX(MASTERDATA!$AA$3:$AA$302,MATCH(ORDER!A63,MASTERDATA!$L$3:$L$302,0))</f>
        <v>#N/A</v>
      </c>
      <c r="M63" s="55">
        <f ca="1">IFERROR(INDEX(MASTERDATA!$AC$3:$AC$302,MATCH(ORDER!A63,MASTERDATA!$L$3:$L$302,0))*I63,0)</f>
        <v>0</v>
      </c>
      <c r="N63" s="56"/>
      <c r="O63" s="115">
        <f t="shared" si="8"/>
        <v>0</v>
      </c>
      <c r="P63" s="57" t="e">
        <f>INDEX(MASTERDATA!$M$3:$M$302,MATCH(ORDER!A63,MASTERDATA!$L$3:$L$302,0))</f>
        <v>#N/A</v>
      </c>
      <c r="Q63" s="58" t="e">
        <f>INDEX(MASTERDATA!$N$3:$N$302,MATCH(ORDER!A63,MASTERDATA!$L$3:$L$302,0))</f>
        <v>#N/A</v>
      </c>
      <c r="R63" s="57" t="str">
        <f t="shared" si="9"/>
        <v/>
      </c>
      <c r="S63" s="59"/>
      <c r="T63" s="59"/>
      <c r="U63" s="57" t="e">
        <f>INDEX(MASTERDATA!$AA$3:$AA$302,MATCH(ORDER!A63,MASTERDATA!$L$3:$L$302,0))*S63</f>
        <v>#N/A</v>
      </c>
      <c r="V63" s="60">
        <f>IFERROR(INDEX(MASTERDATA!$AC$3:$AC$302,MATCH(ORDER!A63,MASTERDATA!$L$3:$L$302,0))*R63,0)</f>
        <v>0</v>
      </c>
      <c r="W63" s="112" t="str">
        <f ca="1">IF(ISNUMBER(I63),VLOOKUP(A63&amp;"DSI End Period",BRAND!$F$5:$X$815,MATCH(D63,BRAND!$G$5:$X$5)+1,0),"")</f>
        <v/>
      </c>
      <c r="X63" s="61"/>
      <c r="Y63" s="62">
        <f>MASTERDATA!R63</f>
        <v>0</v>
      </c>
      <c r="Z63" s="63" t="e">
        <f>INDEX(MASTERDATA!$S$3:$S$302,MATCH(ORDER!A63,MASTERDATA!$L$3:$L$302,0))</f>
        <v>#N/A</v>
      </c>
      <c r="AA63" s="63" t="e">
        <f>INDEX(MASTERDATA!$U$3:$U$302,MATCH(ORDER!A63,MASTERDATA!$L$3:$L$302,0))</f>
        <v>#N/A</v>
      </c>
      <c r="AB63" s="62" t="e">
        <f>INDEX(MASTERDATA!$H$3:$H$302,MATCH(ORDER!A63,MASTERDATA!$L$3:$L$302,0))</f>
        <v>#N/A</v>
      </c>
      <c r="AC63" s="64"/>
      <c r="AD63" s="29"/>
      <c r="AE63" s="65"/>
      <c r="AF63" s="65"/>
      <c r="AG63" s="65"/>
      <c r="AH63" s="65"/>
      <c r="AI63" s="65"/>
      <c r="AJ63" s="65"/>
      <c r="AK63" s="65"/>
      <c r="AL63" s="65"/>
      <c r="AM63" s="65"/>
    </row>
    <row r="64" spans="1:39" ht="15.75" hidden="1" x14ac:dyDescent="0.3">
      <c r="A64" s="114">
        <f>IF(AND(NOT(MASTERDATA!I64="yes"),NOT(MASTERDATA!K64="yes")),MASTERDATA!L64,"")</f>
        <v>0</v>
      </c>
      <c r="B64" s="49" t="e">
        <f>INDEX(MASTERDATA!$V$3:$V$302,MATCH(ORDER!A64,MASTERDATA!$L$3:$L$302,0))</f>
        <v>#N/A</v>
      </c>
      <c r="C64" s="50" t="e">
        <f>INDEX(MASTERDATA!$W$3:$W$302,MATCH(ORDER!A64,MASTERDATA!$L$3:$L$302,0))</f>
        <v>#N/A</v>
      </c>
      <c r="D64" s="51">
        <f ca="1">DATE(YEAR(BRAND!$B$1),MONTH(BRAND!$B$1)+MASTERDATA!Q64,DAY(1))</f>
        <v>42979</v>
      </c>
      <c r="E64" s="52" t="e">
        <f>INDEX(MASTERDATA!$AF$3:$AF$302,MATCH(ORDER!A64,MASTERDATA!$L$3:$L$302,0))</f>
        <v>#N/A</v>
      </c>
      <c r="F64" s="52" t="e">
        <f>INDEX(MASTERDATA!$AH$3:$AH$302,MATCH(ORDER!A64,MASTERDATA!$L$3:$L$302,0))</f>
        <v>#N/A</v>
      </c>
      <c r="G64" s="76"/>
      <c r="H64" s="113">
        <f t="shared" si="5"/>
        <v>0</v>
      </c>
      <c r="I64" s="79" t="str">
        <f ca="1">IFERROR(VLOOKUP(A64&amp;"New PO-Net QTY",BRAND!$F$5:$X$825,MATCH(ORDER!D64,BRAND!$G$5:$X$5,0)+1,0),"")</f>
        <v/>
      </c>
      <c r="J64" s="53">
        <f t="shared" ca="1" si="6"/>
        <v>0</v>
      </c>
      <c r="K64" s="53">
        <f t="shared" ca="1" si="7"/>
        <v>0</v>
      </c>
      <c r="L64" s="54" t="e">
        <f ca="1">J64*INDEX(MASTERDATA!$AA$3:$AA$302,MATCH(ORDER!A64,MASTERDATA!$L$3:$L$302,0))</f>
        <v>#N/A</v>
      </c>
      <c r="M64" s="55">
        <f ca="1">IFERROR(INDEX(MASTERDATA!$AC$3:$AC$302,MATCH(ORDER!A64,MASTERDATA!$L$3:$L$302,0))*I64,0)</f>
        <v>0</v>
      </c>
      <c r="N64" s="56"/>
      <c r="O64" s="115">
        <f t="shared" si="8"/>
        <v>0</v>
      </c>
      <c r="P64" s="57" t="e">
        <f>INDEX(MASTERDATA!$M$3:$M$302,MATCH(ORDER!A64,MASTERDATA!$L$3:$L$302,0))</f>
        <v>#N/A</v>
      </c>
      <c r="Q64" s="58" t="e">
        <f>INDEX(MASTERDATA!$N$3:$N$302,MATCH(ORDER!A64,MASTERDATA!$L$3:$L$302,0))</f>
        <v>#N/A</v>
      </c>
      <c r="R64" s="57" t="str">
        <f t="shared" si="9"/>
        <v/>
      </c>
      <c r="S64" s="59"/>
      <c r="T64" s="59"/>
      <c r="U64" s="57" t="e">
        <f>INDEX(MASTERDATA!$AA$3:$AA$302,MATCH(ORDER!A64,MASTERDATA!$L$3:$L$302,0))*S64</f>
        <v>#N/A</v>
      </c>
      <c r="V64" s="60">
        <f>IFERROR(INDEX(MASTERDATA!$AC$3:$AC$302,MATCH(ORDER!A64,MASTERDATA!$L$3:$L$302,0))*R64,0)</f>
        <v>0</v>
      </c>
      <c r="W64" s="112" t="str">
        <f ca="1">IF(ISNUMBER(I64),VLOOKUP(A64&amp;"DSI End Period",BRAND!$F$5:$X$815,MATCH(D64,BRAND!$G$5:$X$5)+1,0),"")</f>
        <v/>
      </c>
      <c r="X64" s="61"/>
      <c r="Y64" s="62">
        <f>MASTERDATA!R64</f>
        <v>0</v>
      </c>
      <c r="Z64" s="63" t="e">
        <f>INDEX(MASTERDATA!$S$3:$S$302,MATCH(ORDER!A64,MASTERDATA!$L$3:$L$302,0))</f>
        <v>#N/A</v>
      </c>
      <c r="AA64" s="63" t="e">
        <f>INDEX(MASTERDATA!$U$3:$U$302,MATCH(ORDER!A64,MASTERDATA!$L$3:$L$302,0))</f>
        <v>#N/A</v>
      </c>
      <c r="AB64" s="62" t="e">
        <f>INDEX(MASTERDATA!$H$3:$H$302,MATCH(ORDER!A64,MASTERDATA!$L$3:$L$302,0))</f>
        <v>#N/A</v>
      </c>
      <c r="AC64" s="64"/>
      <c r="AD64" s="29"/>
      <c r="AE64" s="65"/>
      <c r="AF64" s="65"/>
      <c r="AG64" s="65"/>
      <c r="AH64" s="65"/>
      <c r="AI64" s="65"/>
      <c r="AJ64" s="65"/>
      <c r="AK64" s="65"/>
      <c r="AL64" s="65"/>
      <c r="AM64" s="65"/>
    </row>
    <row r="65" spans="1:39" ht="15.75" x14ac:dyDescent="0.3">
      <c r="A65" s="114">
        <f>IF(AND(NOT(MASTERDATA!I65="yes"),NOT(MASTERDATA!K65="yes")),MASTERDATA!L65,"")</f>
        <v>0</v>
      </c>
      <c r="B65" s="49" t="e">
        <f>INDEX(MASTERDATA!$V$3:$V$302,MATCH(ORDER!A65,MASTERDATA!$L$3:$L$302,0))</f>
        <v>#N/A</v>
      </c>
      <c r="C65" s="50" t="e">
        <f>INDEX(MASTERDATA!$W$3:$W$302,MATCH(ORDER!A65,MASTERDATA!$L$3:$L$302,0))</f>
        <v>#N/A</v>
      </c>
      <c r="D65" s="51">
        <f ca="1">DATE(YEAR(BRAND!$B$1),MONTH(BRAND!$B$1)+MASTERDATA!Q65,DAY(1))</f>
        <v>42979</v>
      </c>
      <c r="E65" s="52" t="e">
        <f>INDEX(MASTERDATA!$AF$3:$AF$302,MATCH(ORDER!A65,MASTERDATA!$L$3:$L$302,0))</f>
        <v>#N/A</v>
      </c>
      <c r="F65" s="52" t="e">
        <f>INDEX(MASTERDATA!$AH$3:$AH$302,MATCH(ORDER!A65,MASTERDATA!$L$3:$L$302,0))</f>
        <v>#N/A</v>
      </c>
      <c r="G65" s="76"/>
      <c r="H65" s="113">
        <f t="shared" si="5"/>
        <v>0</v>
      </c>
      <c r="I65" s="79" t="str">
        <f ca="1">IFERROR(VLOOKUP(A65&amp;"New PO-Net QTY",BRAND!$F$5:$X$825,MATCH(ORDER!D65,BRAND!$G$5:$X$5,0)+1,0),"")</f>
        <v/>
      </c>
      <c r="J65" s="53">
        <f t="shared" ca="1" si="6"/>
        <v>0</v>
      </c>
      <c r="K65" s="53">
        <f t="shared" ca="1" si="7"/>
        <v>0</v>
      </c>
      <c r="L65" s="54" t="e">
        <f ca="1">J65*INDEX(MASTERDATA!$AA$3:$AA$302,MATCH(ORDER!A65,MASTERDATA!$L$3:$L$302,0))</f>
        <v>#N/A</v>
      </c>
      <c r="M65" s="55">
        <f ca="1">IFERROR(INDEX(MASTERDATA!$AC$3:$AC$302,MATCH(ORDER!A65,MASTERDATA!$L$3:$L$302,0))*I65,0)</f>
        <v>0</v>
      </c>
      <c r="N65" s="56"/>
      <c r="O65" s="115">
        <f t="shared" si="8"/>
        <v>0</v>
      </c>
      <c r="P65" s="57" t="e">
        <f>INDEX(MASTERDATA!$M$3:$M$302,MATCH(ORDER!A65,MASTERDATA!$L$3:$L$302,0))</f>
        <v>#N/A</v>
      </c>
      <c r="Q65" s="58" t="e">
        <f>INDEX(MASTERDATA!$N$3:$N$302,MATCH(ORDER!A65,MASTERDATA!$L$3:$L$302,0))</f>
        <v>#N/A</v>
      </c>
      <c r="R65" s="57" t="str">
        <f t="shared" si="9"/>
        <v/>
      </c>
      <c r="S65" s="59"/>
      <c r="T65" s="59"/>
      <c r="U65" s="57" t="e">
        <f>INDEX(MASTERDATA!$AA$3:$AA$302,MATCH(ORDER!A65,MASTERDATA!$L$3:$L$302,0))*S65</f>
        <v>#N/A</v>
      </c>
      <c r="V65" s="60">
        <f>IFERROR(INDEX(MASTERDATA!$AC$3:$AC$302,MATCH(ORDER!A65,MASTERDATA!$L$3:$L$302,0))*R65,0)</f>
        <v>0</v>
      </c>
      <c r="W65" s="112" t="str">
        <f ca="1">IF(ISNUMBER(I65),VLOOKUP(A65&amp;"DSI End Period",BRAND!$F$5:$X$815,MATCH(D65,BRAND!$G$5:$X$5)+1,0),"")</f>
        <v/>
      </c>
      <c r="X65" s="61"/>
      <c r="Y65" s="62">
        <f>MASTERDATA!R65</f>
        <v>0</v>
      </c>
      <c r="Z65" s="63" t="e">
        <f>INDEX(MASTERDATA!$S$3:$S$302,MATCH(ORDER!A65,MASTERDATA!$L$3:$L$302,0))</f>
        <v>#N/A</v>
      </c>
      <c r="AA65" s="63" t="e">
        <f>INDEX(MASTERDATA!$U$3:$U$302,MATCH(ORDER!A65,MASTERDATA!$L$3:$L$302,0))</f>
        <v>#N/A</v>
      </c>
      <c r="AB65" s="62" t="e">
        <f>INDEX(MASTERDATA!$H$3:$H$302,MATCH(ORDER!A65,MASTERDATA!$L$3:$L$302,0))</f>
        <v>#N/A</v>
      </c>
    </row>
    <row r="66" spans="1:39" ht="15.75" hidden="1" x14ac:dyDescent="0.3">
      <c r="A66" s="114">
        <f>IF(AND(NOT(MASTERDATA!I66="yes"),NOT(MASTERDATA!K66="yes")),MASTERDATA!L66,"")</f>
        <v>0</v>
      </c>
      <c r="B66" s="49" t="e">
        <f>INDEX(MASTERDATA!$V$3:$V$302,MATCH(ORDER!A66,MASTERDATA!$L$3:$L$302,0))</f>
        <v>#N/A</v>
      </c>
      <c r="C66" s="50" t="e">
        <f>INDEX(MASTERDATA!$W$3:$W$302,MATCH(ORDER!A66,MASTERDATA!$L$3:$L$302,0))</f>
        <v>#N/A</v>
      </c>
      <c r="D66" s="51">
        <f ca="1">DATE(YEAR(BRAND!$B$1),MONTH(BRAND!$B$1)+MASTERDATA!Q66,DAY(1))</f>
        <v>42979</v>
      </c>
      <c r="E66" s="52" t="e">
        <f>INDEX(MASTERDATA!$AF$3:$AF$302,MATCH(ORDER!A66,MASTERDATA!$L$3:$L$302,0))</f>
        <v>#N/A</v>
      </c>
      <c r="F66" s="52" t="e">
        <f>INDEX(MASTERDATA!$AH$3:$AH$302,MATCH(ORDER!A66,MASTERDATA!$L$3:$L$302,0))</f>
        <v>#N/A</v>
      </c>
      <c r="G66" s="76"/>
      <c r="H66" s="113">
        <f t="shared" si="5"/>
        <v>0</v>
      </c>
      <c r="I66" s="79" t="str">
        <f ca="1">IFERROR(VLOOKUP(A66&amp;"New PO-Net QTY",BRAND!$F$5:$X$825,MATCH(ORDER!D66,BRAND!$G$5:$X$5,0)+1,0),"")</f>
        <v/>
      </c>
      <c r="J66" s="53">
        <f t="shared" ca="1" si="6"/>
        <v>0</v>
      </c>
      <c r="K66" s="53">
        <f t="shared" ca="1" si="7"/>
        <v>0</v>
      </c>
      <c r="L66" s="54" t="e">
        <f ca="1">J66*INDEX(MASTERDATA!$AA$3:$AA$302,MATCH(ORDER!A66,MASTERDATA!$L$3:$L$302,0))</f>
        <v>#N/A</v>
      </c>
      <c r="M66" s="55">
        <f ca="1">IFERROR(INDEX(MASTERDATA!$AC$3:$AC$302,MATCH(ORDER!A66,MASTERDATA!$L$3:$L$302,0))*I66,0)</f>
        <v>0</v>
      </c>
      <c r="N66" s="56"/>
      <c r="O66" s="115">
        <f t="shared" si="8"/>
        <v>0</v>
      </c>
      <c r="P66" s="57" t="e">
        <f>INDEX(MASTERDATA!$M$3:$M$302,MATCH(ORDER!A66,MASTERDATA!$L$3:$L$302,0))</f>
        <v>#N/A</v>
      </c>
      <c r="Q66" s="58" t="e">
        <f>INDEX(MASTERDATA!$N$3:$N$302,MATCH(ORDER!A66,MASTERDATA!$L$3:$L$302,0))</f>
        <v>#N/A</v>
      </c>
      <c r="R66" s="57" t="str">
        <f t="shared" si="9"/>
        <v/>
      </c>
      <c r="S66" s="59"/>
      <c r="T66" s="59"/>
      <c r="U66" s="57" t="e">
        <f>INDEX(MASTERDATA!$AA$3:$AA$302,MATCH(ORDER!A66,MASTERDATA!$L$3:$L$302,0))*S66</f>
        <v>#N/A</v>
      </c>
      <c r="V66" s="60">
        <f>IFERROR(INDEX(MASTERDATA!$AC$3:$AC$302,MATCH(ORDER!A66,MASTERDATA!$L$3:$L$302,0))*R66,0)</f>
        <v>0</v>
      </c>
      <c r="W66" s="112" t="str">
        <f ca="1">IF(ISNUMBER(I66),VLOOKUP(A66&amp;"DSI End Period",BRAND!$F$5:$X$815,MATCH(D66,BRAND!$G$5:$X$5)+1,0),"")</f>
        <v/>
      </c>
      <c r="X66" s="61"/>
      <c r="Y66" s="62">
        <f>MASTERDATA!R66</f>
        <v>0</v>
      </c>
      <c r="Z66" s="63" t="e">
        <f>INDEX(MASTERDATA!$S$3:$S$302,MATCH(ORDER!A66,MASTERDATA!$L$3:$L$302,0))</f>
        <v>#N/A</v>
      </c>
      <c r="AA66" s="63" t="e">
        <f>INDEX(MASTERDATA!$U$3:$U$302,MATCH(ORDER!A66,MASTERDATA!$L$3:$L$302,0))</f>
        <v>#N/A</v>
      </c>
      <c r="AB66" s="62" t="e">
        <f>INDEX(MASTERDATA!$H$3:$H$302,MATCH(ORDER!A66,MASTERDATA!$L$3:$L$302,0))</f>
        <v>#N/A</v>
      </c>
      <c r="AC66" s="64"/>
      <c r="AD66" s="29"/>
      <c r="AE66" s="65"/>
      <c r="AF66" s="65"/>
      <c r="AG66" s="65"/>
      <c r="AH66" s="65"/>
      <c r="AI66" s="65"/>
      <c r="AJ66" s="65"/>
      <c r="AK66" s="65"/>
      <c r="AL66" s="65"/>
      <c r="AM66" s="65"/>
    </row>
    <row r="67" spans="1:39" ht="15.75" hidden="1" x14ac:dyDescent="0.3">
      <c r="A67" s="114">
        <f>IF(AND(NOT(MASTERDATA!I67="yes"),NOT(MASTERDATA!K67="yes")),MASTERDATA!L67,"")</f>
        <v>0</v>
      </c>
      <c r="B67" s="49" t="e">
        <f>INDEX(MASTERDATA!$V$3:$V$302,MATCH(ORDER!A67,MASTERDATA!$L$3:$L$302,0))</f>
        <v>#N/A</v>
      </c>
      <c r="C67" s="50" t="e">
        <f>INDEX(MASTERDATA!$W$3:$W$302,MATCH(ORDER!A67,MASTERDATA!$L$3:$L$302,0))</f>
        <v>#N/A</v>
      </c>
      <c r="D67" s="51">
        <f ca="1">DATE(YEAR(BRAND!$B$1),MONTH(BRAND!$B$1)+MASTERDATA!Q67,DAY(1))</f>
        <v>42979</v>
      </c>
      <c r="E67" s="52" t="e">
        <f>INDEX(MASTERDATA!$AF$3:$AF$302,MATCH(ORDER!A67,MASTERDATA!$L$3:$L$302,0))</f>
        <v>#N/A</v>
      </c>
      <c r="F67" s="52" t="e">
        <f>INDEX(MASTERDATA!$AH$3:$AH$302,MATCH(ORDER!A67,MASTERDATA!$L$3:$L$302,0))</f>
        <v>#N/A</v>
      </c>
      <c r="G67" s="76"/>
      <c r="H67" s="113">
        <f t="shared" si="5"/>
        <v>0</v>
      </c>
      <c r="I67" s="79" t="str">
        <f ca="1">IFERROR(VLOOKUP(A67&amp;"New PO-Net QTY",BRAND!$F$5:$X$825,MATCH(ORDER!D67,BRAND!$G$5:$X$5,0)+1,0),"")</f>
        <v/>
      </c>
      <c r="J67" s="53">
        <f t="shared" ca="1" si="6"/>
        <v>0</v>
      </c>
      <c r="K67" s="53">
        <f t="shared" ca="1" si="7"/>
        <v>0</v>
      </c>
      <c r="L67" s="54" t="e">
        <f ca="1">J67*INDEX(MASTERDATA!$AA$3:$AA$302,MATCH(ORDER!A67,MASTERDATA!$L$3:$L$302,0))</f>
        <v>#N/A</v>
      </c>
      <c r="M67" s="55">
        <f ca="1">IFERROR(INDEX(MASTERDATA!$AC$3:$AC$302,MATCH(ORDER!A67,MASTERDATA!$L$3:$L$302,0))*I67,0)</f>
        <v>0</v>
      </c>
      <c r="N67" s="56"/>
      <c r="O67" s="115">
        <f t="shared" si="8"/>
        <v>0</v>
      </c>
      <c r="P67" s="57" t="e">
        <f>INDEX(MASTERDATA!$M$3:$M$302,MATCH(ORDER!A67,MASTERDATA!$L$3:$L$302,0))</f>
        <v>#N/A</v>
      </c>
      <c r="Q67" s="58" t="e">
        <f>INDEX(MASTERDATA!$N$3:$N$302,MATCH(ORDER!A67,MASTERDATA!$L$3:$L$302,0))</f>
        <v>#N/A</v>
      </c>
      <c r="R67" s="57" t="str">
        <f t="shared" si="9"/>
        <v/>
      </c>
      <c r="S67" s="59"/>
      <c r="T67" s="59"/>
      <c r="U67" s="57" t="e">
        <f>INDEX(MASTERDATA!$AA$3:$AA$302,MATCH(ORDER!A67,MASTERDATA!$L$3:$L$302,0))*S67</f>
        <v>#N/A</v>
      </c>
      <c r="V67" s="60">
        <f>IFERROR(INDEX(MASTERDATA!$AC$3:$AC$302,MATCH(ORDER!A67,MASTERDATA!$L$3:$L$302,0))*R67,0)</f>
        <v>0</v>
      </c>
      <c r="W67" s="112" t="str">
        <f ca="1">IF(ISNUMBER(I67),VLOOKUP(A67&amp;"DSI End Period",BRAND!$F$5:$X$815,MATCH(D67,BRAND!$G$5:$X$5)+1,0),"")</f>
        <v/>
      </c>
      <c r="X67" s="61"/>
      <c r="Y67" s="62">
        <f>MASTERDATA!R67</f>
        <v>0</v>
      </c>
      <c r="Z67" s="63" t="e">
        <f>INDEX(MASTERDATA!$S$3:$S$302,MATCH(ORDER!A67,MASTERDATA!$L$3:$L$302,0))</f>
        <v>#N/A</v>
      </c>
      <c r="AA67" s="63" t="e">
        <f>INDEX(MASTERDATA!$U$3:$U$302,MATCH(ORDER!A67,MASTERDATA!$L$3:$L$302,0))</f>
        <v>#N/A</v>
      </c>
      <c r="AB67" s="62" t="e">
        <f>INDEX(MASTERDATA!$H$3:$H$302,MATCH(ORDER!A67,MASTERDATA!$L$3:$L$302,0))</f>
        <v>#N/A</v>
      </c>
      <c r="AC67" s="64"/>
      <c r="AD67" s="29"/>
      <c r="AE67" s="65"/>
      <c r="AF67" s="65"/>
      <c r="AG67" s="65"/>
      <c r="AH67" s="65"/>
      <c r="AI67" s="65"/>
      <c r="AJ67" s="65"/>
      <c r="AK67" s="65"/>
      <c r="AL67" s="65"/>
      <c r="AM67" s="65"/>
    </row>
    <row r="68" spans="1:39" ht="15.75" x14ac:dyDescent="0.3">
      <c r="A68" s="114">
        <f>IF(AND(NOT(MASTERDATA!I68="yes"),NOT(MASTERDATA!K68="yes")),MASTERDATA!L68,"")</f>
        <v>0</v>
      </c>
      <c r="B68" s="49" t="e">
        <f>INDEX(MASTERDATA!$V$3:$V$302,MATCH(ORDER!A68,MASTERDATA!$L$3:$L$302,0))</f>
        <v>#N/A</v>
      </c>
      <c r="C68" s="50" t="e">
        <f>INDEX(MASTERDATA!$W$3:$W$302,MATCH(ORDER!A68,MASTERDATA!$L$3:$L$302,0))</f>
        <v>#N/A</v>
      </c>
      <c r="D68" s="51">
        <f ca="1">DATE(YEAR(BRAND!$B$1),MONTH(BRAND!$B$1)+MASTERDATA!Q68,DAY(1))</f>
        <v>42979</v>
      </c>
      <c r="E68" s="52" t="e">
        <f>INDEX(MASTERDATA!$AF$3:$AF$302,MATCH(ORDER!A68,MASTERDATA!$L$3:$L$302,0))</f>
        <v>#N/A</v>
      </c>
      <c r="F68" s="52" t="e">
        <f>INDEX(MASTERDATA!$AH$3:$AH$302,MATCH(ORDER!A68,MASTERDATA!$L$3:$L$302,0))</f>
        <v>#N/A</v>
      </c>
      <c r="G68" s="76"/>
      <c r="H68" s="113">
        <f t="shared" si="5"/>
        <v>0</v>
      </c>
      <c r="I68" s="79" t="str">
        <f ca="1">IFERROR(VLOOKUP(A68&amp;"New PO-Net QTY",BRAND!$F$5:$X$825,MATCH(ORDER!D68,BRAND!$G$5:$X$5,0)+1,0),"")</f>
        <v/>
      </c>
      <c r="J68" s="53">
        <f t="shared" ca="1" si="6"/>
        <v>0</v>
      </c>
      <c r="K68" s="53">
        <f t="shared" ca="1" si="7"/>
        <v>0</v>
      </c>
      <c r="L68" s="54" t="e">
        <f ca="1">J68*INDEX(MASTERDATA!$AA$3:$AA$302,MATCH(ORDER!A68,MASTERDATA!$L$3:$L$302,0))</f>
        <v>#N/A</v>
      </c>
      <c r="M68" s="55">
        <f ca="1">IFERROR(INDEX(MASTERDATA!$AC$3:$AC$302,MATCH(ORDER!A68,MASTERDATA!$L$3:$L$302,0))*I68,0)</f>
        <v>0</v>
      </c>
      <c r="N68" s="56"/>
      <c r="O68" s="115">
        <f t="shared" si="8"/>
        <v>0</v>
      </c>
      <c r="P68" s="57" t="e">
        <f>INDEX(MASTERDATA!$M$3:$M$302,MATCH(ORDER!A68,MASTERDATA!$L$3:$L$302,0))</f>
        <v>#N/A</v>
      </c>
      <c r="Q68" s="58" t="e">
        <f>INDEX(MASTERDATA!$N$3:$N$302,MATCH(ORDER!A68,MASTERDATA!$L$3:$L$302,0))</f>
        <v>#N/A</v>
      </c>
      <c r="R68" s="57" t="str">
        <f t="shared" si="9"/>
        <v/>
      </c>
      <c r="S68" s="59"/>
      <c r="T68" s="59"/>
      <c r="U68" s="57" t="e">
        <f>INDEX(MASTERDATA!$AA$3:$AA$302,MATCH(ORDER!A68,MASTERDATA!$L$3:$L$302,0))*S68</f>
        <v>#N/A</v>
      </c>
      <c r="V68" s="60">
        <f>IFERROR(INDEX(MASTERDATA!$AC$3:$AC$302,MATCH(ORDER!A68,MASTERDATA!$L$3:$L$302,0))*R68,0)</f>
        <v>0</v>
      </c>
      <c r="W68" s="112" t="str">
        <f ca="1">IF(ISNUMBER(I68),VLOOKUP(A68&amp;"DSI End Period",BRAND!$F$5:$X$815,MATCH(D68,BRAND!$G$5:$X$5)+1,0),"")</f>
        <v/>
      </c>
      <c r="X68" s="61"/>
      <c r="Y68" s="62">
        <f>MASTERDATA!R68</f>
        <v>0</v>
      </c>
      <c r="Z68" s="63" t="e">
        <f>INDEX(MASTERDATA!$S$3:$S$302,MATCH(ORDER!A68,MASTERDATA!$L$3:$L$302,0))</f>
        <v>#N/A</v>
      </c>
      <c r="AA68" s="63" t="e">
        <f>INDEX(MASTERDATA!$U$3:$U$302,MATCH(ORDER!A68,MASTERDATA!$L$3:$L$302,0))</f>
        <v>#N/A</v>
      </c>
      <c r="AB68" s="62" t="e">
        <f>INDEX(MASTERDATA!$H$3:$H$302,MATCH(ORDER!A68,MASTERDATA!$L$3:$L$302,0))</f>
        <v>#N/A</v>
      </c>
    </row>
    <row r="69" spans="1:39" ht="15.75" x14ac:dyDescent="0.3">
      <c r="A69" s="114">
        <f>IF(AND(NOT(MASTERDATA!I69="yes"),NOT(MASTERDATA!K69="yes")),MASTERDATA!L69,"")</f>
        <v>0</v>
      </c>
      <c r="B69" s="49" t="e">
        <f>INDEX(MASTERDATA!$V$3:$V$302,MATCH(ORDER!A69,MASTERDATA!$L$3:$L$302,0))</f>
        <v>#N/A</v>
      </c>
      <c r="C69" s="50" t="e">
        <f>INDEX(MASTERDATA!$W$3:$W$302,MATCH(ORDER!A69,MASTERDATA!$L$3:$L$302,0))</f>
        <v>#N/A</v>
      </c>
      <c r="D69" s="51">
        <f ca="1">DATE(YEAR(BRAND!$B$1),MONTH(BRAND!$B$1)+MASTERDATA!Q69,DAY(1))</f>
        <v>42979</v>
      </c>
      <c r="E69" s="52" t="e">
        <f>INDEX(MASTERDATA!$AF$3:$AF$302,MATCH(ORDER!A69,MASTERDATA!$L$3:$L$302,0))</f>
        <v>#N/A</v>
      </c>
      <c r="F69" s="52" t="e">
        <f>INDEX(MASTERDATA!$AH$3:$AH$302,MATCH(ORDER!A69,MASTERDATA!$L$3:$L$302,0))</f>
        <v>#N/A</v>
      </c>
      <c r="G69" s="76"/>
      <c r="H69" s="113">
        <f t="shared" si="5"/>
        <v>0</v>
      </c>
      <c r="I69" s="79" t="str">
        <f ca="1">IFERROR(VLOOKUP(A69&amp;"New PO-Net QTY",BRAND!$F$5:$X$825,MATCH(ORDER!D69,BRAND!$G$5:$X$5,0)+1,0),"")</f>
        <v/>
      </c>
      <c r="J69" s="53">
        <f t="shared" ca="1" si="6"/>
        <v>0</v>
      </c>
      <c r="K69" s="53">
        <f t="shared" ca="1" si="7"/>
        <v>0</v>
      </c>
      <c r="L69" s="54" t="e">
        <f ca="1">J69*INDEX(MASTERDATA!$AA$3:$AA$302,MATCH(ORDER!A69,MASTERDATA!$L$3:$L$302,0))</f>
        <v>#N/A</v>
      </c>
      <c r="M69" s="55">
        <f ca="1">IFERROR(INDEX(MASTERDATA!$AC$3:$AC$302,MATCH(ORDER!A69,MASTERDATA!$L$3:$L$302,0))*I69,0)</f>
        <v>0</v>
      </c>
      <c r="N69" s="56"/>
      <c r="O69" s="115">
        <f t="shared" si="8"/>
        <v>0</v>
      </c>
      <c r="P69" s="57" t="e">
        <f>INDEX(MASTERDATA!$M$3:$M$302,MATCH(ORDER!A69,MASTERDATA!$L$3:$L$302,0))</f>
        <v>#N/A</v>
      </c>
      <c r="Q69" s="58" t="e">
        <f>INDEX(MASTERDATA!$N$3:$N$302,MATCH(ORDER!A69,MASTERDATA!$L$3:$L$302,0))</f>
        <v>#N/A</v>
      </c>
      <c r="R69" s="57" t="str">
        <f t="shared" si="9"/>
        <v/>
      </c>
      <c r="S69" s="59"/>
      <c r="T69" s="59"/>
      <c r="U69" s="57" t="e">
        <f>INDEX(MASTERDATA!$AA$3:$AA$302,MATCH(ORDER!A69,MASTERDATA!$L$3:$L$302,0))*S69</f>
        <v>#N/A</v>
      </c>
      <c r="V69" s="60">
        <f>IFERROR(INDEX(MASTERDATA!$AC$3:$AC$302,MATCH(ORDER!A69,MASTERDATA!$L$3:$L$302,0))*R69,0)</f>
        <v>0</v>
      </c>
      <c r="W69" s="112" t="str">
        <f ca="1">IF(ISNUMBER(I69),VLOOKUP(A69&amp;"DSI End Period",BRAND!$F$5:$X$815,MATCH(D69,BRAND!$G$5:$X$5)+1,0),"")</f>
        <v/>
      </c>
      <c r="X69" s="61"/>
      <c r="Y69" s="62">
        <f>MASTERDATA!R69</f>
        <v>0</v>
      </c>
      <c r="Z69" s="63" t="e">
        <f>INDEX(MASTERDATA!$S$3:$S$302,MATCH(ORDER!A69,MASTERDATA!$L$3:$L$302,0))</f>
        <v>#N/A</v>
      </c>
      <c r="AA69" s="63" t="e">
        <f>INDEX(MASTERDATA!$U$3:$U$302,MATCH(ORDER!A69,MASTERDATA!$L$3:$L$302,0))</f>
        <v>#N/A</v>
      </c>
      <c r="AB69" s="62" t="e">
        <f>INDEX(MASTERDATA!$H$3:$H$302,MATCH(ORDER!A69,MASTERDATA!$L$3:$L$302,0))</f>
        <v>#N/A</v>
      </c>
    </row>
    <row r="70" spans="1:39" ht="15.75" x14ac:dyDescent="0.3">
      <c r="A70" s="114">
        <f>IF(AND(NOT(MASTERDATA!I70="yes"),NOT(MASTERDATA!K70="yes")),MASTERDATA!L70,"")</f>
        <v>0</v>
      </c>
      <c r="B70" s="49" t="e">
        <f>INDEX(MASTERDATA!$V$3:$V$302,MATCH(ORDER!A70,MASTERDATA!$L$3:$L$302,0))</f>
        <v>#N/A</v>
      </c>
      <c r="C70" s="50" t="e">
        <f>INDEX(MASTERDATA!$W$3:$W$302,MATCH(ORDER!A70,MASTERDATA!$L$3:$L$302,0))</f>
        <v>#N/A</v>
      </c>
      <c r="D70" s="51">
        <f ca="1">DATE(YEAR(BRAND!$B$1),MONTH(BRAND!$B$1)+MASTERDATA!Q70,DAY(1))</f>
        <v>42979</v>
      </c>
      <c r="E70" s="52" t="e">
        <f>INDEX(MASTERDATA!$AF$3:$AF$302,MATCH(ORDER!A70,MASTERDATA!$L$3:$L$302,0))</f>
        <v>#N/A</v>
      </c>
      <c r="F70" s="52" t="e">
        <f>INDEX(MASTERDATA!$AH$3:$AH$302,MATCH(ORDER!A70,MASTERDATA!$L$3:$L$302,0))</f>
        <v>#N/A</v>
      </c>
      <c r="G70" s="76"/>
      <c r="H70" s="113">
        <f t="shared" si="5"/>
        <v>0</v>
      </c>
      <c r="I70" s="79" t="str">
        <f ca="1">IFERROR(VLOOKUP(A70&amp;"New PO-Net QTY",BRAND!$F$5:$X$825,MATCH(ORDER!D70,BRAND!$G$5:$X$5,0)+1,0),"")</f>
        <v/>
      </c>
      <c r="J70" s="53">
        <f t="shared" ca="1" si="6"/>
        <v>0</v>
      </c>
      <c r="K70" s="53">
        <f t="shared" ca="1" si="7"/>
        <v>0</v>
      </c>
      <c r="L70" s="54" t="e">
        <f ca="1">J70*INDEX(MASTERDATA!$AA$3:$AA$302,MATCH(ORDER!A70,MASTERDATA!$L$3:$L$302,0))</f>
        <v>#N/A</v>
      </c>
      <c r="M70" s="55">
        <f ca="1">IFERROR(INDEX(MASTERDATA!$AC$3:$AC$302,MATCH(ORDER!A70,MASTERDATA!$L$3:$L$302,0))*I70,0)</f>
        <v>0</v>
      </c>
      <c r="N70" s="56"/>
      <c r="O70" s="115">
        <f t="shared" si="8"/>
        <v>0</v>
      </c>
      <c r="P70" s="57" t="e">
        <f>INDEX(MASTERDATA!$M$3:$M$302,MATCH(ORDER!A70,MASTERDATA!$L$3:$L$302,0))</f>
        <v>#N/A</v>
      </c>
      <c r="Q70" s="58" t="e">
        <f>INDEX(MASTERDATA!$N$3:$N$302,MATCH(ORDER!A70,MASTERDATA!$L$3:$L$302,0))</f>
        <v>#N/A</v>
      </c>
      <c r="R70" s="57" t="str">
        <f t="shared" si="9"/>
        <v/>
      </c>
      <c r="S70" s="59"/>
      <c r="T70" s="59"/>
      <c r="U70" s="57" t="e">
        <f>INDEX(MASTERDATA!$AA$3:$AA$302,MATCH(ORDER!A70,MASTERDATA!$L$3:$L$302,0))*S70</f>
        <v>#N/A</v>
      </c>
      <c r="V70" s="60">
        <f>IFERROR(INDEX(MASTERDATA!$AC$3:$AC$302,MATCH(ORDER!A70,MASTERDATA!$L$3:$L$302,0))*R70,0)</f>
        <v>0</v>
      </c>
      <c r="W70" s="112" t="str">
        <f ca="1">IF(ISNUMBER(I70),VLOOKUP(A70&amp;"DSI End Period",BRAND!$F$5:$X$815,MATCH(D70,BRAND!$G$5:$X$5)+1,0),"")</f>
        <v/>
      </c>
      <c r="X70" s="61"/>
      <c r="Y70" s="62">
        <f>MASTERDATA!R70</f>
        <v>0</v>
      </c>
      <c r="Z70" s="63" t="e">
        <f>INDEX(MASTERDATA!$S$3:$S$302,MATCH(ORDER!A70,MASTERDATA!$L$3:$L$302,0))</f>
        <v>#N/A</v>
      </c>
      <c r="AA70" s="63" t="e">
        <f>INDEX(MASTERDATA!$U$3:$U$302,MATCH(ORDER!A70,MASTERDATA!$L$3:$L$302,0))</f>
        <v>#N/A</v>
      </c>
      <c r="AB70" s="62" t="e">
        <f>INDEX(MASTERDATA!$H$3:$H$302,MATCH(ORDER!A70,MASTERDATA!$L$3:$L$302,0))</f>
        <v>#N/A</v>
      </c>
    </row>
    <row r="71" spans="1:39" ht="15.75" hidden="1" x14ac:dyDescent="0.3">
      <c r="A71" s="114">
        <f>IF(AND(NOT(MASTERDATA!I71="yes"),NOT(MASTERDATA!K71="yes")),MASTERDATA!L71,"")</f>
        <v>0</v>
      </c>
      <c r="B71" s="49" t="e">
        <f>INDEX(MASTERDATA!$V$3:$V$302,MATCH(ORDER!A71,MASTERDATA!$L$3:$L$302,0))</f>
        <v>#N/A</v>
      </c>
      <c r="C71" s="50" t="e">
        <f>INDEX(MASTERDATA!$W$3:$W$302,MATCH(ORDER!A71,MASTERDATA!$L$3:$L$302,0))</f>
        <v>#N/A</v>
      </c>
      <c r="D71" s="51">
        <f ca="1">DATE(YEAR(BRAND!$B$1),MONTH(BRAND!$B$1)+MASTERDATA!Q71,DAY(1))</f>
        <v>42979</v>
      </c>
      <c r="E71" s="52" t="e">
        <f>INDEX(MASTERDATA!$AF$3:$AF$302,MATCH(ORDER!A71,MASTERDATA!$L$3:$L$302,0))</f>
        <v>#N/A</v>
      </c>
      <c r="F71" s="52" t="e">
        <f>INDEX(MASTERDATA!$AH$3:$AH$302,MATCH(ORDER!A71,MASTERDATA!$L$3:$L$302,0))</f>
        <v>#N/A</v>
      </c>
      <c r="G71" s="76"/>
      <c r="H71" s="113">
        <f t="shared" si="5"/>
        <v>0</v>
      </c>
      <c r="I71" s="79" t="str">
        <f ca="1">IFERROR(VLOOKUP(A71&amp;"New PO-Net QTY",BRAND!$F$5:$X$825,MATCH(ORDER!D71,BRAND!$G$5:$X$5,0)+1,0),"")</f>
        <v/>
      </c>
      <c r="J71" s="53">
        <f t="shared" ca="1" si="6"/>
        <v>0</v>
      </c>
      <c r="K71" s="53">
        <f t="shared" ca="1" si="7"/>
        <v>0</v>
      </c>
      <c r="L71" s="54" t="e">
        <f ca="1">J71*INDEX(MASTERDATA!$AA$3:$AA$302,MATCH(ORDER!A71,MASTERDATA!$L$3:$L$302,0))</f>
        <v>#N/A</v>
      </c>
      <c r="M71" s="55">
        <f ca="1">IFERROR(INDEX(MASTERDATA!$AC$3:$AC$302,MATCH(ORDER!A71,MASTERDATA!$L$3:$L$302,0))*I71,0)</f>
        <v>0</v>
      </c>
      <c r="N71" s="56"/>
      <c r="O71" s="115">
        <f t="shared" si="8"/>
        <v>0</v>
      </c>
      <c r="P71" s="57" t="e">
        <f>INDEX(MASTERDATA!$M$3:$M$302,MATCH(ORDER!A71,MASTERDATA!$L$3:$L$302,0))</f>
        <v>#N/A</v>
      </c>
      <c r="Q71" s="58" t="e">
        <f>INDEX(MASTERDATA!$N$3:$N$302,MATCH(ORDER!A71,MASTERDATA!$L$3:$L$302,0))</f>
        <v>#N/A</v>
      </c>
      <c r="R71" s="57" t="str">
        <f t="shared" si="9"/>
        <v/>
      </c>
      <c r="S71" s="59"/>
      <c r="T71" s="59"/>
      <c r="U71" s="57" t="e">
        <f>INDEX(MASTERDATA!$AA$3:$AA$302,MATCH(ORDER!A71,MASTERDATA!$L$3:$L$302,0))*S71</f>
        <v>#N/A</v>
      </c>
      <c r="V71" s="60">
        <f>IFERROR(INDEX(MASTERDATA!$AC$3:$AC$302,MATCH(ORDER!A71,MASTERDATA!$L$3:$L$302,0))*R71,0)</f>
        <v>0</v>
      </c>
      <c r="W71" s="112" t="str">
        <f ca="1">IF(ISNUMBER(I71),VLOOKUP(A71&amp;"DSI End Period",BRAND!$F$5:$X$815,MATCH(D71,BRAND!$G$5:$X$5)+1,0),"")</f>
        <v/>
      </c>
      <c r="X71" s="61"/>
      <c r="Y71" s="62">
        <f>MASTERDATA!R71</f>
        <v>0</v>
      </c>
      <c r="Z71" s="63" t="e">
        <f>INDEX(MASTERDATA!$S$3:$S$302,MATCH(ORDER!A71,MASTERDATA!$L$3:$L$302,0))</f>
        <v>#N/A</v>
      </c>
      <c r="AA71" s="63" t="e">
        <f>INDEX(MASTERDATA!$U$3:$U$302,MATCH(ORDER!A71,MASTERDATA!$L$3:$L$302,0))</f>
        <v>#N/A</v>
      </c>
      <c r="AB71" s="62" t="e">
        <f>INDEX(MASTERDATA!$H$3:$H$302,MATCH(ORDER!A71,MASTERDATA!$L$3:$L$302,0))</f>
        <v>#N/A</v>
      </c>
      <c r="AC71" s="64"/>
      <c r="AD71" s="29"/>
      <c r="AE71" s="65"/>
      <c r="AF71" s="65"/>
      <c r="AG71" s="65"/>
      <c r="AH71" s="65"/>
      <c r="AI71" s="65"/>
      <c r="AJ71" s="65"/>
      <c r="AK71" s="65"/>
      <c r="AL71" s="65"/>
      <c r="AM71" s="65"/>
    </row>
    <row r="72" spans="1:39" ht="15.75" hidden="1" x14ac:dyDescent="0.3">
      <c r="A72" s="114">
        <f>IF(AND(NOT(MASTERDATA!I72="yes"),NOT(MASTERDATA!K72="yes")),MASTERDATA!L72,"")</f>
        <v>0</v>
      </c>
      <c r="B72" s="49" t="e">
        <f>INDEX(MASTERDATA!$V$3:$V$302,MATCH(ORDER!A72,MASTERDATA!$L$3:$L$302,0))</f>
        <v>#N/A</v>
      </c>
      <c r="C72" s="50" t="e">
        <f>INDEX(MASTERDATA!$W$3:$W$302,MATCH(ORDER!A72,MASTERDATA!$L$3:$L$302,0))</f>
        <v>#N/A</v>
      </c>
      <c r="D72" s="51">
        <f ca="1">DATE(YEAR(BRAND!$B$1),MONTH(BRAND!$B$1)+MASTERDATA!Q72,DAY(1))</f>
        <v>42979</v>
      </c>
      <c r="E72" s="52" t="e">
        <f>INDEX(MASTERDATA!$AF$3:$AF$302,MATCH(ORDER!A72,MASTERDATA!$L$3:$L$302,0))</f>
        <v>#N/A</v>
      </c>
      <c r="F72" s="52" t="e">
        <f>INDEX(MASTERDATA!$AH$3:$AH$302,MATCH(ORDER!A72,MASTERDATA!$L$3:$L$302,0))</f>
        <v>#N/A</v>
      </c>
      <c r="G72" s="76"/>
      <c r="H72" s="113">
        <f t="shared" si="5"/>
        <v>0</v>
      </c>
      <c r="I72" s="79" t="str">
        <f ca="1">IFERROR(VLOOKUP(A72&amp;"New PO-Net QTY",BRAND!$F$5:$X$825,MATCH(ORDER!D72,BRAND!$G$5:$X$5,0)+1,0),"")</f>
        <v/>
      </c>
      <c r="J72" s="53">
        <f t="shared" ca="1" si="6"/>
        <v>0</v>
      </c>
      <c r="K72" s="53">
        <f t="shared" ca="1" si="7"/>
        <v>0</v>
      </c>
      <c r="L72" s="54" t="e">
        <f ca="1">J72*INDEX(MASTERDATA!$AA$3:$AA$302,MATCH(ORDER!A72,MASTERDATA!$L$3:$L$302,0))</f>
        <v>#N/A</v>
      </c>
      <c r="M72" s="55">
        <f ca="1">IFERROR(INDEX(MASTERDATA!$AC$3:$AC$302,MATCH(ORDER!A72,MASTERDATA!$L$3:$L$302,0))*I72,0)</f>
        <v>0</v>
      </c>
      <c r="N72" s="56"/>
      <c r="O72" s="115">
        <f t="shared" si="8"/>
        <v>0</v>
      </c>
      <c r="P72" s="57" t="e">
        <f>INDEX(MASTERDATA!$M$3:$M$302,MATCH(ORDER!A72,MASTERDATA!$L$3:$L$302,0))</f>
        <v>#N/A</v>
      </c>
      <c r="Q72" s="58" t="e">
        <f>INDEX(MASTERDATA!$N$3:$N$302,MATCH(ORDER!A72,MASTERDATA!$L$3:$L$302,0))</f>
        <v>#N/A</v>
      </c>
      <c r="R72" s="57" t="str">
        <f t="shared" si="9"/>
        <v/>
      </c>
      <c r="S72" s="59"/>
      <c r="T72" s="59"/>
      <c r="U72" s="57" t="e">
        <f>INDEX(MASTERDATA!$AA$3:$AA$302,MATCH(ORDER!A72,MASTERDATA!$L$3:$L$302,0))*S72</f>
        <v>#N/A</v>
      </c>
      <c r="V72" s="60">
        <f>IFERROR(INDEX(MASTERDATA!$AC$3:$AC$302,MATCH(ORDER!A72,MASTERDATA!$L$3:$L$302,0))*R72,0)</f>
        <v>0</v>
      </c>
      <c r="W72" s="112" t="str">
        <f ca="1">IF(ISNUMBER(I72),VLOOKUP(A72&amp;"DSI End Period",BRAND!$F$5:$X$815,MATCH(D72,BRAND!$G$5:$X$5)+1,0),"")</f>
        <v/>
      </c>
      <c r="X72" s="61"/>
      <c r="Y72" s="62">
        <f>MASTERDATA!R72</f>
        <v>0</v>
      </c>
      <c r="Z72" s="63" t="e">
        <f>INDEX(MASTERDATA!$S$3:$S$302,MATCH(ORDER!A72,MASTERDATA!$L$3:$L$302,0))</f>
        <v>#N/A</v>
      </c>
      <c r="AA72" s="63" t="e">
        <f>INDEX(MASTERDATA!$U$3:$U$302,MATCH(ORDER!A72,MASTERDATA!$L$3:$L$302,0))</f>
        <v>#N/A</v>
      </c>
      <c r="AB72" s="62" t="e">
        <f>INDEX(MASTERDATA!$H$3:$H$302,MATCH(ORDER!A72,MASTERDATA!$L$3:$L$302,0))</f>
        <v>#N/A</v>
      </c>
      <c r="AC72" s="64"/>
      <c r="AD72" s="29"/>
      <c r="AE72" s="65"/>
      <c r="AF72" s="65"/>
      <c r="AG72" s="65"/>
      <c r="AH72" s="65"/>
      <c r="AI72" s="65"/>
      <c r="AJ72" s="65"/>
      <c r="AK72" s="65"/>
      <c r="AL72" s="65"/>
      <c r="AM72" s="65"/>
    </row>
    <row r="73" spans="1:39" ht="15.75" hidden="1" x14ac:dyDescent="0.3">
      <c r="A73" s="114">
        <f>IF(AND(NOT(MASTERDATA!I73="yes"),NOT(MASTERDATA!K73="yes")),MASTERDATA!L73,"")</f>
        <v>0</v>
      </c>
      <c r="B73" s="49" t="e">
        <f>INDEX(MASTERDATA!$V$3:$V$302,MATCH(ORDER!A73,MASTERDATA!$L$3:$L$302,0))</f>
        <v>#N/A</v>
      </c>
      <c r="C73" s="50" t="e">
        <f>INDEX(MASTERDATA!$W$3:$W$302,MATCH(ORDER!A73,MASTERDATA!$L$3:$L$302,0))</f>
        <v>#N/A</v>
      </c>
      <c r="D73" s="51">
        <f ca="1">DATE(YEAR(BRAND!$B$1),MONTH(BRAND!$B$1)+MASTERDATA!Q73,DAY(1))</f>
        <v>42979</v>
      </c>
      <c r="E73" s="52" t="e">
        <f>INDEX(MASTERDATA!$AF$3:$AF$302,MATCH(ORDER!A73,MASTERDATA!$L$3:$L$302,0))</f>
        <v>#N/A</v>
      </c>
      <c r="F73" s="52" t="e">
        <f>INDEX(MASTERDATA!$AH$3:$AH$302,MATCH(ORDER!A73,MASTERDATA!$L$3:$L$302,0))</f>
        <v>#N/A</v>
      </c>
      <c r="G73" s="76"/>
      <c r="H73" s="113">
        <f t="shared" si="5"/>
        <v>0</v>
      </c>
      <c r="I73" s="79" t="str">
        <f ca="1">IFERROR(VLOOKUP(A73&amp;"New PO-Net QTY",BRAND!$F$5:$X$825,MATCH(ORDER!D73,BRAND!$G$5:$X$5,0)+1,0),"")</f>
        <v/>
      </c>
      <c r="J73" s="53">
        <f t="shared" ca="1" si="6"/>
        <v>0</v>
      </c>
      <c r="K73" s="53">
        <f t="shared" ca="1" si="7"/>
        <v>0</v>
      </c>
      <c r="L73" s="54" t="e">
        <f ca="1">J73*INDEX(MASTERDATA!$AA$3:$AA$302,MATCH(ORDER!A73,MASTERDATA!$L$3:$L$302,0))</f>
        <v>#N/A</v>
      </c>
      <c r="M73" s="55">
        <f ca="1">IFERROR(INDEX(MASTERDATA!$AC$3:$AC$302,MATCH(ORDER!A73,MASTERDATA!$L$3:$L$302,0))*I73,0)</f>
        <v>0</v>
      </c>
      <c r="N73" s="56"/>
      <c r="O73" s="115">
        <f t="shared" si="8"/>
        <v>0</v>
      </c>
      <c r="P73" s="57" t="e">
        <f>INDEX(MASTERDATA!$M$3:$M$302,MATCH(ORDER!A73,MASTERDATA!$L$3:$L$302,0))</f>
        <v>#N/A</v>
      </c>
      <c r="Q73" s="58" t="e">
        <f>INDEX(MASTERDATA!$N$3:$N$302,MATCH(ORDER!A73,MASTERDATA!$L$3:$L$302,0))</f>
        <v>#N/A</v>
      </c>
      <c r="R73" s="57" t="str">
        <f t="shared" si="9"/>
        <v/>
      </c>
      <c r="S73" s="59"/>
      <c r="T73" s="59"/>
      <c r="U73" s="57" t="e">
        <f>INDEX(MASTERDATA!$AA$3:$AA$302,MATCH(ORDER!A73,MASTERDATA!$L$3:$L$302,0))*S73</f>
        <v>#N/A</v>
      </c>
      <c r="V73" s="60">
        <f>IFERROR(INDEX(MASTERDATA!$AC$3:$AC$302,MATCH(ORDER!A73,MASTERDATA!$L$3:$L$302,0))*R73,0)</f>
        <v>0</v>
      </c>
      <c r="W73" s="112" t="str">
        <f ca="1">IF(ISNUMBER(I73),VLOOKUP(A73&amp;"DSI End Period",BRAND!$F$5:$X$815,MATCH(D73,BRAND!$G$5:$X$5)+1,0),"")</f>
        <v/>
      </c>
      <c r="X73" s="61"/>
      <c r="Y73" s="62">
        <f>MASTERDATA!R73</f>
        <v>0</v>
      </c>
      <c r="Z73" s="63" t="e">
        <f>INDEX(MASTERDATA!$S$3:$S$302,MATCH(ORDER!A73,MASTERDATA!$L$3:$L$302,0))</f>
        <v>#N/A</v>
      </c>
      <c r="AA73" s="63" t="e">
        <f>INDEX(MASTERDATA!$U$3:$U$302,MATCH(ORDER!A73,MASTERDATA!$L$3:$L$302,0))</f>
        <v>#N/A</v>
      </c>
      <c r="AB73" s="62" t="e">
        <f>INDEX(MASTERDATA!$H$3:$H$302,MATCH(ORDER!A73,MASTERDATA!$L$3:$L$302,0))</f>
        <v>#N/A</v>
      </c>
      <c r="AC73" s="64"/>
      <c r="AD73" s="29"/>
      <c r="AE73" s="65"/>
      <c r="AF73" s="65"/>
      <c r="AG73" s="65"/>
      <c r="AH73" s="65"/>
      <c r="AI73" s="65"/>
      <c r="AJ73" s="65"/>
      <c r="AK73" s="65"/>
      <c r="AL73" s="65"/>
      <c r="AM73" s="65"/>
    </row>
    <row r="74" spans="1:39" ht="15.75" hidden="1" x14ac:dyDescent="0.3">
      <c r="A74" s="114">
        <f>IF(AND(NOT(MASTERDATA!I74="yes"),NOT(MASTERDATA!K74="yes")),MASTERDATA!L74,"")</f>
        <v>0</v>
      </c>
      <c r="B74" s="49" t="e">
        <f>INDEX(MASTERDATA!$V$3:$V$302,MATCH(ORDER!A74,MASTERDATA!$L$3:$L$302,0))</f>
        <v>#N/A</v>
      </c>
      <c r="C74" s="50" t="e">
        <f>INDEX(MASTERDATA!$W$3:$W$302,MATCH(ORDER!A74,MASTERDATA!$L$3:$L$302,0))</f>
        <v>#N/A</v>
      </c>
      <c r="D74" s="51">
        <f ca="1">DATE(YEAR(BRAND!$B$1),MONTH(BRAND!$B$1)+MASTERDATA!Q74,DAY(1))</f>
        <v>42979</v>
      </c>
      <c r="E74" s="52" t="e">
        <f>INDEX(MASTERDATA!$AF$3:$AF$302,MATCH(ORDER!A74,MASTERDATA!$L$3:$L$302,0))</f>
        <v>#N/A</v>
      </c>
      <c r="F74" s="52" t="e">
        <f>INDEX(MASTERDATA!$AH$3:$AH$302,MATCH(ORDER!A74,MASTERDATA!$L$3:$L$302,0))</f>
        <v>#N/A</v>
      </c>
      <c r="G74" s="76"/>
      <c r="H74" s="113">
        <f t="shared" si="5"/>
        <v>0</v>
      </c>
      <c r="I74" s="79" t="str">
        <f ca="1">IFERROR(VLOOKUP(A74&amp;"New PO-Net QTY",BRAND!$F$5:$X$825,MATCH(ORDER!D74,BRAND!$G$5:$X$5,0)+1,0),"")</f>
        <v/>
      </c>
      <c r="J74" s="53">
        <f t="shared" ca="1" si="6"/>
        <v>0</v>
      </c>
      <c r="K74" s="53">
        <f t="shared" ca="1" si="7"/>
        <v>0</v>
      </c>
      <c r="L74" s="54" t="e">
        <f ca="1">J74*INDEX(MASTERDATA!$AA$3:$AA$302,MATCH(ORDER!A74,MASTERDATA!$L$3:$L$302,0))</f>
        <v>#N/A</v>
      </c>
      <c r="M74" s="55">
        <f ca="1">IFERROR(INDEX(MASTERDATA!$AC$3:$AC$302,MATCH(ORDER!A74,MASTERDATA!$L$3:$L$302,0))*I74,0)</f>
        <v>0</v>
      </c>
      <c r="N74" s="56"/>
      <c r="O74" s="115">
        <f t="shared" si="8"/>
        <v>0</v>
      </c>
      <c r="P74" s="57" t="e">
        <f>INDEX(MASTERDATA!$M$3:$M$302,MATCH(ORDER!A74,MASTERDATA!$L$3:$L$302,0))</f>
        <v>#N/A</v>
      </c>
      <c r="Q74" s="58" t="e">
        <f>INDEX(MASTERDATA!$N$3:$N$302,MATCH(ORDER!A74,MASTERDATA!$L$3:$L$302,0))</f>
        <v>#N/A</v>
      </c>
      <c r="R74" s="57" t="str">
        <f t="shared" si="9"/>
        <v/>
      </c>
      <c r="S74" s="59"/>
      <c r="T74" s="59"/>
      <c r="U74" s="57" t="e">
        <f>INDEX(MASTERDATA!$AA$3:$AA$302,MATCH(ORDER!A74,MASTERDATA!$L$3:$L$302,0))*S74</f>
        <v>#N/A</v>
      </c>
      <c r="V74" s="60">
        <f>IFERROR(INDEX(MASTERDATA!$AC$3:$AC$302,MATCH(ORDER!A74,MASTERDATA!$L$3:$L$302,0))*R74,0)</f>
        <v>0</v>
      </c>
      <c r="W74" s="112" t="str">
        <f ca="1">IF(ISNUMBER(I74),VLOOKUP(A74&amp;"DSI End Period",BRAND!$F$5:$X$815,MATCH(D74,BRAND!$G$5:$X$5)+1,0),"")</f>
        <v/>
      </c>
      <c r="X74" s="61"/>
      <c r="Y74" s="62">
        <f>MASTERDATA!R74</f>
        <v>0</v>
      </c>
      <c r="Z74" s="63" t="e">
        <f>INDEX(MASTERDATA!$S$3:$S$302,MATCH(ORDER!A74,MASTERDATA!$L$3:$L$302,0))</f>
        <v>#N/A</v>
      </c>
      <c r="AA74" s="63" t="e">
        <f>INDEX(MASTERDATA!$U$3:$U$302,MATCH(ORDER!A74,MASTERDATA!$L$3:$L$302,0))</f>
        <v>#N/A</v>
      </c>
      <c r="AB74" s="62" t="e">
        <f>INDEX(MASTERDATA!$H$3:$H$302,MATCH(ORDER!A74,MASTERDATA!$L$3:$L$302,0))</f>
        <v>#N/A</v>
      </c>
      <c r="AC74" s="64"/>
      <c r="AD74" s="29"/>
      <c r="AE74" s="65"/>
      <c r="AF74" s="65"/>
      <c r="AG74" s="65"/>
      <c r="AH74" s="65"/>
      <c r="AI74" s="65"/>
      <c r="AJ74" s="65"/>
      <c r="AK74" s="65"/>
      <c r="AL74" s="65"/>
      <c r="AM74" s="65"/>
    </row>
    <row r="75" spans="1:39" ht="15.75" hidden="1" x14ac:dyDescent="0.3">
      <c r="A75" s="114">
        <f>IF(AND(NOT(MASTERDATA!I75="yes"),NOT(MASTERDATA!K75="yes")),MASTERDATA!L75,"")</f>
        <v>0</v>
      </c>
      <c r="B75" s="49" t="e">
        <f>INDEX(MASTERDATA!$V$3:$V$302,MATCH(ORDER!A75,MASTERDATA!$L$3:$L$302,0))</f>
        <v>#N/A</v>
      </c>
      <c r="C75" s="50" t="e">
        <f>INDEX(MASTERDATA!$W$3:$W$302,MATCH(ORDER!A75,MASTERDATA!$L$3:$L$302,0))</f>
        <v>#N/A</v>
      </c>
      <c r="D75" s="51">
        <f ca="1">DATE(YEAR(BRAND!$B$1),MONTH(BRAND!$B$1)+MASTERDATA!Q75,DAY(1))</f>
        <v>42979</v>
      </c>
      <c r="E75" s="52" t="e">
        <f>INDEX(MASTERDATA!$AF$3:$AF$302,MATCH(ORDER!A75,MASTERDATA!$L$3:$L$302,0))</f>
        <v>#N/A</v>
      </c>
      <c r="F75" s="52" t="e">
        <f>INDEX(MASTERDATA!$AH$3:$AH$302,MATCH(ORDER!A75,MASTERDATA!$L$3:$L$302,0))</f>
        <v>#N/A</v>
      </c>
      <c r="G75" s="76"/>
      <c r="H75" s="113">
        <f t="shared" si="5"/>
        <v>0</v>
      </c>
      <c r="I75" s="79" t="str">
        <f ca="1">IFERROR(VLOOKUP(A75&amp;"New PO-Net QTY",BRAND!$F$5:$X$825,MATCH(ORDER!D75,BRAND!$G$5:$X$5,0)+1,0),"")</f>
        <v/>
      </c>
      <c r="J75" s="53">
        <f t="shared" ca="1" si="6"/>
        <v>0</v>
      </c>
      <c r="K75" s="53">
        <f t="shared" ca="1" si="7"/>
        <v>0</v>
      </c>
      <c r="L75" s="54" t="e">
        <f ca="1">J75*INDEX(MASTERDATA!$AA$3:$AA$302,MATCH(ORDER!A75,MASTERDATA!$L$3:$L$302,0))</f>
        <v>#N/A</v>
      </c>
      <c r="M75" s="55">
        <f ca="1">IFERROR(INDEX(MASTERDATA!$AC$3:$AC$302,MATCH(ORDER!A75,MASTERDATA!$L$3:$L$302,0))*I75,0)</f>
        <v>0</v>
      </c>
      <c r="N75" s="56"/>
      <c r="O75" s="115">
        <f t="shared" si="8"/>
        <v>0</v>
      </c>
      <c r="P75" s="57" t="e">
        <f>INDEX(MASTERDATA!$M$3:$M$302,MATCH(ORDER!A75,MASTERDATA!$L$3:$L$302,0))</f>
        <v>#N/A</v>
      </c>
      <c r="Q75" s="58" t="e">
        <f>INDEX(MASTERDATA!$N$3:$N$302,MATCH(ORDER!A75,MASTERDATA!$L$3:$L$302,0))</f>
        <v>#N/A</v>
      </c>
      <c r="R75" s="57" t="str">
        <f t="shared" si="9"/>
        <v/>
      </c>
      <c r="S75" s="59"/>
      <c r="T75" s="59"/>
      <c r="U75" s="57" t="e">
        <f>INDEX(MASTERDATA!$AA$3:$AA$302,MATCH(ORDER!A75,MASTERDATA!$L$3:$L$302,0))*S75</f>
        <v>#N/A</v>
      </c>
      <c r="V75" s="60">
        <f>IFERROR(INDEX(MASTERDATA!$AC$3:$AC$302,MATCH(ORDER!A75,MASTERDATA!$L$3:$L$302,0))*R75,0)</f>
        <v>0</v>
      </c>
      <c r="W75" s="112" t="str">
        <f ca="1">IF(ISNUMBER(I75),VLOOKUP(A75&amp;"DSI End Period",BRAND!$F$5:$X$815,MATCH(D75,BRAND!$G$5:$X$5)+1,0),"")</f>
        <v/>
      </c>
      <c r="X75" s="61"/>
      <c r="Y75" s="62">
        <f>MASTERDATA!R75</f>
        <v>0</v>
      </c>
      <c r="Z75" s="63" t="e">
        <f>INDEX(MASTERDATA!$S$3:$S$302,MATCH(ORDER!A75,MASTERDATA!$L$3:$L$302,0))</f>
        <v>#N/A</v>
      </c>
      <c r="AA75" s="63" t="e">
        <f>INDEX(MASTERDATA!$U$3:$U$302,MATCH(ORDER!A75,MASTERDATA!$L$3:$L$302,0))</f>
        <v>#N/A</v>
      </c>
      <c r="AB75" s="62" t="e">
        <f>INDEX(MASTERDATA!$H$3:$H$302,MATCH(ORDER!A75,MASTERDATA!$L$3:$L$302,0))</f>
        <v>#N/A</v>
      </c>
      <c r="AC75" s="64"/>
      <c r="AD75" s="29"/>
      <c r="AE75" s="65"/>
      <c r="AF75" s="65"/>
      <c r="AG75" s="65"/>
      <c r="AH75" s="65"/>
      <c r="AI75" s="65"/>
      <c r="AJ75" s="65"/>
      <c r="AK75" s="65"/>
      <c r="AL75" s="65"/>
      <c r="AM75" s="65"/>
    </row>
    <row r="76" spans="1:39" ht="15.75" x14ac:dyDescent="0.3">
      <c r="A76" s="114">
        <f>IF(AND(NOT(MASTERDATA!I76="yes"),NOT(MASTERDATA!K76="yes")),MASTERDATA!L76,"")</f>
        <v>0</v>
      </c>
      <c r="B76" s="49" t="e">
        <f>INDEX(MASTERDATA!$V$3:$V$302,MATCH(ORDER!A76,MASTERDATA!$L$3:$L$302,0))</f>
        <v>#N/A</v>
      </c>
      <c r="C76" s="50" t="e">
        <f>INDEX(MASTERDATA!$W$3:$W$302,MATCH(ORDER!A76,MASTERDATA!$L$3:$L$302,0))</f>
        <v>#N/A</v>
      </c>
      <c r="D76" s="51">
        <f ca="1">DATE(YEAR(BRAND!$B$1),MONTH(BRAND!$B$1)+MASTERDATA!Q76,DAY(1))</f>
        <v>42979</v>
      </c>
      <c r="E76" s="52" t="e">
        <f>INDEX(MASTERDATA!$AF$3:$AF$302,MATCH(ORDER!A76,MASTERDATA!$L$3:$L$302,0))</f>
        <v>#N/A</v>
      </c>
      <c r="F76" s="52" t="e">
        <f>INDEX(MASTERDATA!$AH$3:$AH$302,MATCH(ORDER!A76,MASTERDATA!$L$3:$L$302,0))</f>
        <v>#N/A</v>
      </c>
      <c r="G76" s="76"/>
      <c r="H76" s="113">
        <f t="shared" si="5"/>
        <v>0</v>
      </c>
      <c r="I76" s="79" t="str">
        <f ca="1">IFERROR(VLOOKUP(A76&amp;"New PO-Net QTY",BRAND!$F$5:$X$825,MATCH(ORDER!D76,BRAND!$G$5:$X$5,0)+1,0),"")</f>
        <v/>
      </c>
      <c r="J76" s="53">
        <f t="shared" ca="1" si="6"/>
        <v>0</v>
      </c>
      <c r="K76" s="53">
        <f t="shared" ca="1" si="7"/>
        <v>0</v>
      </c>
      <c r="L76" s="54" t="e">
        <f ca="1">J76*INDEX(MASTERDATA!$AA$3:$AA$302,MATCH(ORDER!A76,MASTERDATA!$L$3:$L$302,0))</f>
        <v>#N/A</v>
      </c>
      <c r="M76" s="55">
        <f ca="1">IFERROR(INDEX(MASTERDATA!$AC$3:$AC$302,MATCH(ORDER!A76,MASTERDATA!$L$3:$L$302,0))*I76,0)</f>
        <v>0</v>
      </c>
      <c r="N76" s="56"/>
      <c r="O76" s="115">
        <f t="shared" si="8"/>
        <v>0</v>
      </c>
      <c r="P76" s="57" t="e">
        <f>INDEX(MASTERDATA!$M$3:$M$302,MATCH(ORDER!A76,MASTERDATA!$L$3:$L$302,0))</f>
        <v>#N/A</v>
      </c>
      <c r="Q76" s="58" t="e">
        <f>INDEX(MASTERDATA!$N$3:$N$302,MATCH(ORDER!A76,MASTERDATA!$L$3:$L$302,0))</f>
        <v>#N/A</v>
      </c>
      <c r="R76" s="57" t="str">
        <f t="shared" si="9"/>
        <v/>
      </c>
      <c r="S76" s="59"/>
      <c r="T76" s="59"/>
      <c r="U76" s="57" t="e">
        <f>INDEX(MASTERDATA!$AA$3:$AA$302,MATCH(ORDER!A76,MASTERDATA!$L$3:$L$302,0))*S76</f>
        <v>#N/A</v>
      </c>
      <c r="V76" s="60">
        <f>IFERROR(INDEX(MASTERDATA!$AC$3:$AC$302,MATCH(ORDER!A76,MASTERDATA!$L$3:$L$302,0))*R76,0)</f>
        <v>0</v>
      </c>
      <c r="W76" s="112" t="str">
        <f ca="1">IF(ISNUMBER(I76),VLOOKUP(A76&amp;"DSI End Period",BRAND!$F$5:$X$815,MATCH(D76,BRAND!$G$5:$X$5)+1,0),"")</f>
        <v/>
      </c>
      <c r="X76" s="61"/>
      <c r="Y76" s="62">
        <f>MASTERDATA!R76</f>
        <v>0</v>
      </c>
      <c r="Z76" s="63" t="e">
        <f>INDEX(MASTERDATA!$S$3:$S$302,MATCH(ORDER!A76,MASTERDATA!$L$3:$L$302,0))</f>
        <v>#N/A</v>
      </c>
      <c r="AA76" s="63" t="e">
        <f>INDEX(MASTERDATA!$U$3:$U$302,MATCH(ORDER!A76,MASTERDATA!$L$3:$L$302,0))</f>
        <v>#N/A</v>
      </c>
      <c r="AB76" s="62" t="e">
        <f>INDEX(MASTERDATA!$H$3:$H$302,MATCH(ORDER!A76,MASTERDATA!$L$3:$L$302,0))</f>
        <v>#N/A</v>
      </c>
    </row>
    <row r="77" spans="1:39" ht="15.75" x14ac:dyDescent="0.3">
      <c r="A77" s="114">
        <f>IF(AND(NOT(MASTERDATA!I77="yes"),NOT(MASTERDATA!K77="yes")),MASTERDATA!L77,"")</f>
        <v>0</v>
      </c>
      <c r="B77" s="49" t="e">
        <f>INDEX(MASTERDATA!$V$3:$V$302,MATCH(ORDER!A77,MASTERDATA!$L$3:$L$302,0))</f>
        <v>#N/A</v>
      </c>
      <c r="C77" s="50" t="e">
        <f>INDEX(MASTERDATA!$W$3:$W$302,MATCH(ORDER!A77,MASTERDATA!$L$3:$L$302,0))</f>
        <v>#N/A</v>
      </c>
      <c r="D77" s="51">
        <f ca="1">DATE(YEAR(BRAND!$B$1),MONTH(BRAND!$B$1)+MASTERDATA!Q77,DAY(1))</f>
        <v>42979</v>
      </c>
      <c r="E77" s="52" t="e">
        <f>INDEX(MASTERDATA!$AF$3:$AF$302,MATCH(ORDER!A77,MASTERDATA!$L$3:$L$302,0))</f>
        <v>#N/A</v>
      </c>
      <c r="F77" s="52" t="e">
        <f>INDEX(MASTERDATA!$AH$3:$AH$302,MATCH(ORDER!A77,MASTERDATA!$L$3:$L$302,0))</f>
        <v>#N/A</v>
      </c>
      <c r="G77" s="76"/>
      <c r="H77" s="113">
        <f t="shared" si="5"/>
        <v>0</v>
      </c>
      <c r="I77" s="79" t="str">
        <f ca="1">IFERROR(VLOOKUP(A77&amp;"New PO-Net QTY",BRAND!$F$5:$X$825,MATCH(ORDER!D77,BRAND!$G$5:$X$5,0)+1,0),"")</f>
        <v/>
      </c>
      <c r="J77" s="53">
        <f t="shared" ca="1" si="6"/>
        <v>0</v>
      </c>
      <c r="K77" s="53">
        <f t="shared" ca="1" si="7"/>
        <v>0</v>
      </c>
      <c r="L77" s="54" t="e">
        <f ca="1">J77*INDEX(MASTERDATA!$AA$3:$AA$302,MATCH(ORDER!A77,MASTERDATA!$L$3:$L$302,0))</f>
        <v>#N/A</v>
      </c>
      <c r="M77" s="55">
        <f ca="1">IFERROR(INDEX(MASTERDATA!$AC$3:$AC$302,MATCH(ORDER!A77,MASTERDATA!$L$3:$L$302,0))*I77,0)</f>
        <v>0</v>
      </c>
      <c r="N77" s="56"/>
      <c r="O77" s="115">
        <f t="shared" si="8"/>
        <v>0</v>
      </c>
      <c r="P77" s="57" t="e">
        <f>INDEX(MASTERDATA!$M$3:$M$302,MATCH(ORDER!A77,MASTERDATA!$L$3:$L$302,0))</f>
        <v>#N/A</v>
      </c>
      <c r="Q77" s="58" t="e">
        <f>INDEX(MASTERDATA!$N$3:$N$302,MATCH(ORDER!A77,MASTERDATA!$L$3:$L$302,0))</f>
        <v>#N/A</v>
      </c>
      <c r="R77" s="57" t="str">
        <f t="shared" si="9"/>
        <v/>
      </c>
      <c r="S77" s="59"/>
      <c r="T77" s="59"/>
      <c r="U77" s="57" t="e">
        <f>INDEX(MASTERDATA!$AA$3:$AA$302,MATCH(ORDER!A77,MASTERDATA!$L$3:$L$302,0))*S77</f>
        <v>#N/A</v>
      </c>
      <c r="V77" s="60">
        <f>IFERROR(INDEX(MASTERDATA!$AC$3:$AC$302,MATCH(ORDER!A77,MASTERDATA!$L$3:$L$302,0))*R77,0)</f>
        <v>0</v>
      </c>
      <c r="W77" s="112" t="str">
        <f ca="1">IF(ISNUMBER(I77),VLOOKUP(A77&amp;"DSI End Period",BRAND!$F$5:$X$815,MATCH(D77,BRAND!$G$5:$X$5)+1,0),"")</f>
        <v/>
      </c>
      <c r="X77" s="61"/>
      <c r="Y77" s="62">
        <f>MASTERDATA!R77</f>
        <v>0</v>
      </c>
      <c r="Z77" s="63" t="e">
        <f>INDEX(MASTERDATA!$S$3:$S$302,MATCH(ORDER!A77,MASTERDATA!$L$3:$L$302,0))</f>
        <v>#N/A</v>
      </c>
      <c r="AA77" s="63" t="e">
        <f>INDEX(MASTERDATA!$U$3:$U$302,MATCH(ORDER!A77,MASTERDATA!$L$3:$L$302,0))</f>
        <v>#N/A</v>
      </c>
      <c r="AB77" s="62" t="e">
        <f>INDEX(MASTERDATA!$H$3:$H$302,MATCH(ORDER!A77,MASTERDATA!$L$3:$L$302,0))</f>
        <v>#N/A</v>
      </c>
    </row>
    <row r="78" spans="1:39" ht="15.75" hidden="1" x14ac:dyDescent="0.3">
      <c r="A78" s="114">
        <f>IF(AND(NOT(MASTERDATA!I78="yes"),NOT(MASTERDATA!K78="yes")),MASTERDATA!L78,"")</f>
        <v>0</v>
      </c>
      <c r="B78" s="49" t="e">
        <f>INDEX(MASTERDATA!$V$3:$V$302,MATCH(ORDER!A78,MASTERDATA!$L$3:$L$302,0))</f>
        <v>#N/A</v>
      </c>
      <c r="C78" s="50" t="e">
        <f>INDEX(MASTERDATA!$W$3:$W$302,MATCH(ORDER!A78,MASTERDATA!$L$3:$L$302,0))</f>
        <v>#N/A</v>
      </c>
      <c r="D78" s="51">
        <f ca="1">DATE(YEAR(BRAND!$B$1),MONTH(BRAND!$B$1)+MASTERDATA!Q78,DAY(1))</f>
        <v>42979</v>
      </c>
      <c r="E78" s="52" t="e">
        <f>INDEX(MASTERDATA!$AF$3:$AF$302,MATCH(ORDER!A78,MASTERDATA!$L$3:$L$302,0))</f>
        <v>#N/A</v>
      </c>
      <c r="F78" s="52" t="e">
        <f>INDEX(MASTERDATA!$AH$3:$AH$302,MATCH(ORDER!A78,MASTERDATA!$L$3:$L$302,0))</f>
        <v>#N/A</v>
      </c>
      <c r="G78" s="76"/>
      <c r="H78" s="113">
        <f t="shared" si="5"/>
        <v>0</v>
      </c>
      <c r="I78" s="79" t="str">
        <f ca="1">IFERROR(VLOOKUP(A78&amp;"New PO-Net QTY",BRAND!$F$5:$X$825,MATCH(ORDER!D78,BRAND!$G$5:$X$5,0)+1,0),"")</f>
        <v/>
      </c>
      <c r="J78" s="53">
        <f t="shared" ca="1" si="6"/>
        <v>0</v>
      </c>
      <c r="K78" s="53">
        <f t="shared" ca="1" si="7"/>
        <v>0</v>
      </c>
      <c r="L78" s="54" t="e">
        <f ca="1">J78*INDEX(MASTERDATA!$AA$3:$AA$302,MATCH(ORDER!A78,MASTERDATA!$L$3:$L$302,0))</f>
        <v>#N/A</v>
      </c>
      <c r="M78" s="55">
        <f ca="1">IFERROR(INDEX(MASTERDATA!$AC$3:$AC$302,MATCH(ORDER!A78,MASTERDATA!$L$3:$L$302,0))*I78,0)</f>
        <v>0</v>
      </c>
      <c r="N78" s="56"/>
      <c r="O78" s="115">
        <f t="shared" si="8"/>
        <v>0</v>
      </c>
      <c r="P78" s="57" t="e">
        <f>INDEX(MASTERDATA!$M$3:$M$302,MATCH(ORDER!A78,MASTERDATA!$L$3:$L$302,0))</f>
        <v>#N/A</v>
      </c>
      <c r="Q78" s="58" t="e">
        <f>INDEX(MASTERDATA!$N$3:$N$302,MATCH(ORDER!A78,MASTERDATA!$L$3:$L$302,0))</f>
        <v>#N/A</v>
      </c>
      <c r="R78" s="57" t="str">
        <f t="shared" si="9"/>
        <v/>
      </c>
      <c r="S78" s="59"/>
      <c r="T78" s="59"/>
      <c r="U78" s="57" t="e">
        <f>INDEX(MASTERDATA!$AA$3:$AA$302,MATCH(ORDER!A78,MASTERDATA!$L$3:$L$302,0))*S78</f>
        <v>#N/A</v>
      </c>
      <c r="V78" s="60">
        <f>IFERROR(INDEX(MASTERDATA!$AC$3:$AC$302,MATCH(ORDER!A78,MASTERDATA!$L$3:$L$302,0))*R78,0)</f>
        <v>0</v>
      </c>
      <c r="W78" s="112" t="str">
        <f ca="1">IF(ISNUMBER(I78),VLOOKUP(A78&amp;"DSI End Period",BRAND!$F$5:$X$815,MATCH(D78,BRAND!$G$5:$X$5)+1,0),"")</f>
        <v/>
      </c>
      <c r="X78" s="61"/>
      <c r="Y78" s="62">
        <f>MASTERDATA!R78</f>
        <v>0</v>
      </c>
      <c r="Z78" s="63" t="e">
        <f>INDEX(MASTERDATA!$S$3:$S$302,MATCH(ORDER!A78,MASTERDATA!$L$3:$L$302,0))</f>
        <v>#N/A</v>
      </c>
      <c r="AA78" s="63" t="e">
        <f>INDEX(MASTERDATA!$U$3:$U$302,MATCH(ORDER!A78,MASTERDATA!$L$3:$L$302,0))</f>
        <v>#N/A</v>
      </c>
      <c r="AB78" s="62" t="e">
        <f>INDEX(MASTERDATA!$H$3:$H$302,MATCH(ORDER!A78,MASTERDATA!$L$3:$L$302,0))</f>
        <v>#N/A</v>
      </c>
      <c r="AC78" s="64"/>
      <c r="AD78" s="29"/>
      <c r="AE78" s="65"/>
      <c r="AF78" s="65"/>
      <c r="AG78" s="65"/>
      <c r="AH78" s="65"/>
      <c r="AI78" s="65"/>
      <c r="AJ78" s="65"/>
      <c r="AK78" s="65"/>
      <c r="AL78" s="65"/>
      <c r="AM78" s="65"/>
    </row>
    <row r="79" spans="1:39" ht="15.75" x14ac:dyDescent="0.3">
      <c r="A79" s="114">
        <f>IF(AND(NOT(MASTERDATA!I79="yes"),NOT(MASTERDATA!K79="yes")),MASTERDATA!L79,"")</f>
        <v>0</v>
      </c>
      <c r="B79" s="49" t="e">
        <f>INDEX(MASTERDATA!$V$3:$V$302,MATCH(ORDER!A79,MASTERDATA!$L$3:$L$302,0))</f>
        <v>#N/A</v>
      </c>
      <c r="C79" s="50" t="e">
        <f>INDEX(MASTERDATA!$W$3:$W$302,MATCH(ORDER!A79,MASTERDATA!$L$3:$L$302,0))</f>
        <v>#N/A</v>
      </c>
      <c r="D79" s="51">
        <f ca="1">DATE(YEAR(BRAND!$B$1),MONTH(BRAND!$B$1)+MASTERDATA!Q79,DAY(1))</f>
        <v>42979</v>
      </c>
      <c r="E79" s="52" t="e">
        <f>INDEX(MASTERDATA!$AF$3:$AF$302,MATCH(ORDER!A79,MASTERDATA!$L$3:$L$302,0))</f>
        <v>#N/A</v>
      </c>
      <c r="F79" s="52" t="e">
        <f>INDEX(MASTERDATA!$AH$3:$AH$302,MATCH(ORDER!A79,MASTERDATA!$L$3:$L$302,0))</f>
        <v>#N/A</v>
      </c>
      <c r="G79" s="76"/>
      <c r="H79" s="113">
        <f t="shared" si="5"/>
        <v>0</v>
      </c>
      <c r="I79" s="79" t="str">
        <f ca="1">IFERROR(VLOOKUP(A79&amp;"New PO-Net QTY",BRAND!$F$5:$X$825,MATCH(ORDER!D79,BRAND!$G$5:$X$5,0)+1,0),"")</f>
        <v/>
      </c>
      <c r="J79" s="53">
        <f t="shared" ca="1" si="6"/>
        <v>0</v>
      </c>
      <c r="K79" s="53">
        <f t="shared" ca="1" si="7"/>
        <v>0</v>
      </c>
      <c r="L79" s="54" t="e">
        <f ca="1">J79*INDEX(MASTERDATA!$AA$3:$AA$302,MATCH(ORDER!A79,MASTERDATA!$L$3:$L$302,0))</f>
        <v>#N/A</v>
      </c>
      <c r="M79" s="55">
        <f ca="1">IFERROR(INDEX(MASTERDATA!$AC$3:$AC$302,MATCH(ORDER!A79,MASTERDATA!$L$3:$L$302,0))*I79,0)</f>
        <v>0</v>
      </c>
      <c r="N79" s="56"/>
      <c r="O79" s="115">
        <f t="shared" si="8"/>
        <v>0</v>
      </c>
      <c r="P79" s="57" t="e">
        <f>INDEX(MASTERDATA!$M$3:$M$302,MATCH(ORDER!A79,MASTERDATA!$L$3:$L$302,0))</f>
        <v>#N/A</v>
      </c>
      <c r="Q79" s="58" t="e">
        <f>INDEX(MASTERDATA!$N$3:$N$302,MATCH(ORDER!A79,MASTERDATA!$L$3:$L$302,0))</f>
        <v>#N/A</v>
      </c>
      <c r="R79" s="57" t="str">
        <f t="shared" si="9"/>
        <v/>
      </c>
      <c r="S79" s="59"/>
      <c r="T79" s="59"/>
      <c r="U79" s="57" t="e">
        <f>INDEX(MASTERDATA!$AA$3:$AA$302,MATCH(ORDER!A79,MASTERDATA!$L$3:$L$302,0))*S79</f>
        <v>#N/A</v>
      </c>
      <c r="V79" s="60">
        <f>IFERROR(INDEX(MASTERDATA!$AC$3:$AC$302,MATCH(ORDER!A79,MASTERDATA!$L$3:$L$302,0))*R79,0)</f>
        <v>0</v>
      </c>
      <c r="W79" s="112" t="str">
        <f ca="1">IF(ISNUMBER(I79),VLOOKUP(A79&amp;"DSI End Period",BRAND!$F$5:$X$815,MATCH(D79,BRAND!$G$5:$X$5)+1,0),"")</f>
        <v/>
      </c>
      <c r="X79" s="61"/>
      <c r="Y79" s="62">
        <f>MASTERDATA!R79</f>
        <v>0</v>
      </c>
      <c r="Z79" s="63" t="e">
        <f>INDEX(MASTERDATA!$S$3:$S$302,MATCH(ORDER!A79,MASTERDATA!$L$3:$L$302,0))</f>
        <v>#N/A</v>
      </c>
      <c r="AA79" s="63" t="e">
        <f>INDEX(MASTERDATA!$U$3:$U$302,MATCH(ORDER!A79,MASTERDATA!$L$3:$L$302,0))</f>
        <v>#N/A</v>
      </c>
      <c r="AB79" s="62" t="e">
        <f>INDEX(MASTERDATA!$H$3:$H$302,MATCH(ORDER!A79,MASTERDATA!$L$3:$L$302,0))</f>
        <v>#N/A</v>
      </c>
    </row>
    <row r="80" spans="1:39" ht="15.75" hidden="1" x14ac:dyDescent="0.3">
      <c r="A80" s="114">
        <f>IF(AND(NOT(MASTERDATA!I80="yes"),NOT(MASTERDATA!K80="yes")),MASTERDATA!L80,"")</f>
        <v>0</v>
      </c>
      <c r="B80" s="49" t="e">
        <f>INDEX(MASTERDATA!$V$3:$V$302,MATCH(ORDER!A80,MASTERDATA!$L$3:$L$302,0))</f>
        <v>#N/A</v>
      </c>
      <c r="C80" s="50" t="e">
        <f>INDEX(MASTERDATA!$W$3:$W$302,MATCH(ORDER!A80,MASTERDATA!$L$3:$L$302,0))</f>
        <v>#N/A</v>
      </c>
      <c r="D80" s="51">
        <f ca="1">DATE(YEAR(BRAND!$B$1),MONTH(BRAND!$B$1)+MASTERDATA!Q80,DAY(1))</f>
        <v>42979</v>
      </c>
      <c r="E80" s="52" t="e">
        <f>INDEX(MASTERDATA!$AF$3:$AF$302,MATCH(ORDER!A80,MASTERDATA!$L$3:$L$302,0))</f>
        <v>#N/A</v>
      </c>
      <c r="F80" s="52" t="e">
        <f>INDEX(MASTERDATA!$AH$3:$AH$302,MATCH(ORDER!A80,MASTERDATA!$L$3:$L$302,0))</f>
        <v>#N/A</v>
      </c>
      <c r="G80" s="76"/>
      <c r="H80" s="113">
        <f t="shared" si="5"/>
        <v>0</v>
      </c>
      <c r="I80" s="79" t="str">
        <f ca="1">IFERROR(VLOOKUP(A80&amp;"New PO-Net QTY",BRAND!$F$5:$X$825,MATCH(ORDER!D80,BRAND!$G$5:$X$5,0)+1,0),"")</f>
        <v/>
      </c>
      <c r="J80" s="53">
        <f t="shared" ca="1" si="6"/>
        <v>0</v>
      </c>
      <c r="K80" s="53">
        <f t="shared" ca="1" si="7"/>
        <v>0</v>
      </c>
      <c r="L80" s="54" t="e">
        <f ca="1">J80*INDEX(MASTERDATA!$AA$3:$AA$302,MATCH(ORDER!A80,MASTERDATA!$L$3:$L$302,0))</f>
        <v>#N/A</v>
      </c>
      <c r="M80" s="55">
        <f ca="1">IFERROR(INDEX(MASTERDATA!$AC$3:$AC$302,MATCH(ORDER!A80,MASTERDATA!$L$3:$L$302,0))*I80,0)</f>
        <v>0</v>
      </c>
      <c r="N80" s="56"/>
      <c r="O80" s="115">
        <f t="shared" si="8"/>
        <v>0</v>
      </c>
      <c r="P80" s="57" t="e">
        <f>INDEX(MASTERDATA!$M$3:$M$302,MATCH(ORDER!A80,MASTERDATA!$L$3:$L$302,0))</f>
        <v>#N/A</v>
      </c>
      <c r="Q80" s="58" t="e">
        <f>INDEX(MASTERDATA!$N$3:$N$302,MATCH(ORDER!A80,MASTERDATA!$L$3:$L$302,0))</f>
        <v>#N/A</v>
      </c>
      <c r="R80" s="57" t="str">
        <f t="shared" si="9"/>
        <v/>
      </c>
      <c r="S80" s="59"/>
      <c r="T80" s="59"/>
      <c r="U80" s="57" t="e">
        <f>INDEX(MASTERDATA!$AA$3:$AA$302,MATCH(ORDER!A80,MASTERDATA!$L$3:$L$302,0))*S80</f>
        <v>#N/A</v>
      </c>
      <c r="V80" s="60">
        <f>IFERROR(INDEX(MASTERDATA!$AC$3:$AC$302,MATCH(ORDER!A80,MASTERDATA!$L$3:$L$302,0))*R80,0)</f>
        <v>0</v>
      </c>
      <c r="W80" s="112" t="str">
        <f ca="1">IF(ISNUMBER(I80),VLOOKUP(A80&amp;"DSI End Period",BRAND!$F$5:$X$815,MATCH(D80,BRAND!$G$5:$X$5)+1,0),"")</f>
        <v/>
      </c>
      <c r="X80" s="61"/>
      <c r="Y80" s="62">
        <f>MASTERDATA!R80</f>
        <v>0</v>
      </c>
      <c r="Z80" s="63" t="e">
        <f>INDEX(MASTERDATA!$S$3:$S$302,MATCH(ORDER!A80,MASTERDATA!$L$3:$L$302,0))</f>
        <v>#N/A</v>
      </c>
      <c r="AA80" s="63" t="e">
        <f>INDEX(MASTERDATA!$U$3:$U$302,MATCH(ORDER!A80,MASTERDATA!$L$3:$L$302,0))</f>
        <v>#N/A</v>
      </c>
      <c r="AB80" s="62" t="e">
        <f>INDEX(MASTERDATA!$H$3:$H$302,MATCH(ORDER!A80,MASTERDATA!$L$3:$L$302,0))</f>
        <v>#N/A</v>
      </c>
      <c r="AC80" s="64"/>
      <c r="AD80" s="29"/>
      <c r="AE80" s="65"/>
      <c r="AF80" s="65"/>
      <c r="AG80" s="65"/>
      <c r="AH80" s="65"/>
      <c r="AI80" s="65"/>
      <c r="AJ80" s="65"/>
      <c r="AK80" s="65"/>
      <c r="AL80" s="65"/>
      <c r="AM80" s="65"/>
    </row>
    <row r="81" spans="1:39" ht="15.75" x14ac:dyDescent="0.3">
      <c r="A81" s="114">
        <f>IF(AND(NOT(MASTERDATA!I81="yes"),NOT(MASTERDATA!K81="yes")),MASTERDATA!L81,"")</f>
        <v>0</v>
      </c>
      <c r="B81" s="49" t="e">
        <f>INDEX(MASTERDATA!$V$3:$V$302,MATCH(ORDER!A81,MASTERDATA!$L$3:$L$302,0))</f>
        <v>#N/A</v>
      </c>
      <c r="C81" s="50" t="e">
        <f>INDEX(MASTERDATA!$W$3:$W$302,MATCH(ORDER!A81,MASTERDATA!$L$3:$L$302,0))</f>
        <v>#N/A</v>
      </c>
      <c r="D81" s="51">
        <f ca="1">DATE(YEAR(BRAND!$B$1),MONTH(BRAND!$B$1)+MASTERDATA!Q81,DAY(1))</f>
        <v>42979</v>
      </c>
      <c r="E81" s="52" t="e">
        <f>INDEX(MASTERDATA!$AF$3:$AF$302,MATCH(ORDER!A81,MASTERDATA!$L$3:$L$302,0))</f>
        <v>#N/A</v>
      </c>
      <c r="F81" s="52" t="e">
        <f>INDEX(MASTERDATA!$AH$3:$AH$302,MATCH(ORDER!A81,MASTERDATA!$L$3:$L$302,0))</f>
        <v>#N/A</v>
      </c>
      <c r="G81" s="76"/>
      <c r="H81" s="113">
        <f t="shared" si="5"/>
        <v>0</v>
      </c>
      <c r="I81" s="79" t="str">
        <f ca="1">IFERROR(VLOOKUP(A81&amp;"New PO-Net QTY",BRAND!$F$5:$X$825,MATCH(ORDER!D81,BRAND!$G$5:$X$5,0)+1,0),"")</f>
        <v/>
      </c>
      <c r="J81" s="53">
        <f t="shared" ca="1" si="6"/>
        <v>0</v>
      </c>
      <c r="K81" s="53">
        <f t="shared" ca="1" si="7"/>
        <v>0</v>
      </c>
      <c r="L81" s="54" t="e">
        <f ca="1">J81*INDEX(MASTERDATA!$AA$3:$AA$302,MATCH(ORDER!A81,MASTERDATA!$L$3:$L$302,0))</f>
        <v>#N/A</v>
      </c>
      <c r="M81" s="55">
        <f ca="1">IFERROR(INDEX(MASTERDATA!$AC$3:$AC$302,MATCH(ORDER!A81,MASTERDATA!$L$3:$L$302,0))*I81,0)</f>
        <v>0</v>
      </c>
      <c r="N81" s="56"/>
      <c r="O81" s="115">
        <f t="shared" si="8"/>
        <v>0</v>
      </c>
      <c r="P81" s="57" t="e">
        <f>INDEX(MASTERDATA!$M$3:$M$302,MATCH(ORDER!A81,MASTERDATA!$L$3:$L$302,0))</f>
        <v>#N/A</v>
      </c>
      <c r="Q81" s="58" t="e">
        <f>INDEX(MASTERDATA!$N$3:$N$302,MATCH(ORDER!A81,MASTERDATA!$L$3:$L$302,0))</f>
        <v>#N/A</v>
      </c>
      <c r="R81" s="57" t="str">
        <f t="shared" si="9"/>
        <v/>
      </c>
      <c r="S81" s="59"/>
      <c r="T81" s="59"/>
      <c r="U81" s="57" t="e">
        <f>INDEX(MASTERDATA!$AA$3:$AA$302,MATCH(ORDER!A81,MASTERDATA!$L$3:$L$302,0))*S81</f>
        <v>#N/A</v>
      </c>
      <c r="V81" s="60">
        <f>IFERROR(INDEX(MASTERDATA!$AC$3:$AC$302,MATCH(ORDER!A81,MASTERDATA!$L$3:$L$302,0))*R81,0)</f>
        <v>0</v>
      </c>
      <c r="W81" s="112" t="str">
        <f ca="1">IF(ISNUMBER(I81),VLOOKUP(A81&amp;"DSI End Period",BRAND!$F$5:$X$815,MATCH(D81,BRAND!$G$5:$X$5)+1,0),"")</f>
        <v/>
      </c>
      <c r="X81" s="61"/>
      <c r="Y81" s="62">
        <f>MASTERDATA!R81</f>
        <v>0</v>
      </c>
      <c r="Z81" s="63" t="e">
        <f>INDEX(MASTERDATA!$S$3:$S$302,MATCH(ORDER!A81,MASTERDATA!$L$3:$L$302,0))</f>
        <v>#N/A</v>
      </c>
      <c r="AA81" s="63" t="e">
        <f>INDEX(MASTERDATA!$U$3:$U$302,MATCH(ORDER!A81,MASTERDATA!$L$3:$L$302,0))</f>
        <v>#N/A</v>
      </c>
      <c r="AB81" s="62" t="e">
        <f>INDEX(MASTERDATA!$H$3:$H$302,MATCH(ORDER!A81,MASTERDATA!$L$3:$L$302,0))</f>
        <v>#N/A</v>
      </c>
    </row>
    <row r="82" spans="1:39" ht="15.75" hidden="1" x14ac:dyDescent="0.3">
      <c r="A82" s="114">
        <f>IF(AND(NOT(MASTERDATA!I82="yes"),NOT(MASTERDATA!K82="yes")),MASTERDATA!L82,"")</f>
        <v>0</v>
      </c>
      <c r="B82" s="49" t="e">
        <f>INDEX(MASTERDATA!$V$3:$V$302,MATCH(ORDER!A82,MASTERDATA!$L$3:$L$302,0))</f>
        <v>#N/A</v>
      </c>
      <c r="C82" s="50" t="e">
        <f>INDEX(MASTERDATA!$W$3:$W$302,MATCH(ORDER!A82,MASTERDATA!$L$3:$L$302,0))</f>
        <v>#N/A</v>
      </c>
      <c r="D82" s="51">
        <f ca="1">DATE(YEAR(BRAND!$B$1),MONTH(BRAND!$B$1)+MASTERDATA!Q82,DAY(1))</f>
        <v>42979</v>
      </c>
      <c r="E82" s="52" t="e">
        <f>INDEX(MASTERDATA!$AF$3:$AF$302,MATCH(ORDER!A82,MASTERDATA!$L$3:$L$302,0))</f>
        <v>#N/A</v>
      </c>
      <c r="F82" s="52" t="e">
        <f>INDEX(MASTERDATA!$AH$3:$AH$302,MATCH(ORDER!A82,MASTERDATA!$L$3:$L$302,0))</f>
        <v>#N/A</v>
      </c>
      <c r="G82" s="76"/>
      <c r="H82" s="113">
        <f t="shared" si="5"/>
        <v>0</v>
      </c>
      <c r="I82" s="79" t="str">
        <f ca="1">IFERROR(VLOOKUP(A82&amp;"New PO-Net QTY",BRAND!$F$5:$X$825,MATCH(ORDER!D82,BRAND!$G$5:$X$5,0)+1,0),"")</f>
        <v/>
      </c>
      <c r="J82" s="53">
        <f t="shared" ca="1" si="6"/>
        <v>0</v>
      </c>
      <c r="K82" s="53">
        <f t="shared" ca="1" si="7"/>
        <v>0</v>
      </c>
      <c r="L82" s="54" t="e">
        <f ca="1">J82*INDEX(MASTERDATA!$AA$3:$AA$302,MATCH(ORDER!A82,MASTERDATA!$L$3:$L$302,0))</f>
        <v>#N/A</v>
      </c>
      <c r="M82" s="55">
        <f ca="1">IFERROR(INDEX(MASTERDATA!$AC$3:$AC$302,MATCH(ORDER!A82,MASTERDATA!$L$3:$L$302,0))*I82,0)</f>
        <v>0</v>
      </c>
      <c r="N82" s="56"/>
      <c r="O82" s="115">
        <f t="shared" si="8"/>
        <v>0</v>
      </c>
      <c r="P82" s="57" t="e">
        <f>INDEX(MASTERDATA!$M$3:$M$302,MATCH(ORDER!A82,MASTERDATA!$L$3:$L$302,0))</f>
        <v>#N/A</v>
      </c>
      <c r="Q82" s="58" t="e">
        <f>INDEX(MASTERDATA!$N$3:$N$302,MATCH(ORDER!A82,MASTERDATA!$L$3:$L$302,0))</f>
        <v>#N/A</v>
      </c>
      <c r="R82" s="57" t="str">
        <f t="shared" si="9"/>
        <v/>
      </c>
      <c r="S82" s="59"/>
      <c r="T82" s="59"/>
      <c r="U82" s="57" t="e">
        <f>INDEX(MASTERDATA!$AA$3:$AA$302,MATCH(ORDER!A82,MASTERDATA!$L$3:$L$302,0))*S82</f>
        <v>#N/A</v>
      </c>
      <c r="V82" s="60">
        <f>IFERROR(INDEX(MASTERDATA!$AC$3:$AC$302,MATCH(ORDER!A82,MASTERDATA!$L$3:$L$302,0))*R82,0)</f>
        <v>0</v>
      </c>
      <c r="W82" s="112" t="str">
        <f ca="1">IF(ISNUMBER(I82),VLOOKUP(A82&amp;"DSI End Period",BRAND!$F$5:$X$815,MATCH(D82,BRAND!$G$5:$X$5)+1,0),"")</f>
        <v/>
      </c>
      <c r="X82" s="61"/>
      <c r="Y82" s="62">
        <f>MASTERDATA!R82</f>
        <v>0</v>
      </c>
      <c r="Z82" s="63" t="e">
        <f>INDEX(MASTERDATA!$S$3:$S$302,MATCH(ORDER!A82,MASTERDATA!$L$3:$L$302,0))</f>
        <v>#N/A</v>
      </c>
      <c r="AA82" s="63" t="e">
        <f>INDEX(MASTERDATA!$U$3:$U$302,MATCH(ORDER!A82,MASTERDATA!$L$3:$L$302,0))</f>
        <v>#N/A</v>
      </c>
      <c r="AB82" s="62" t="e">
        <f>INDEX(MASTERDATA!$H$3:$H$302,MATCH(ORDER!A82,MASTERDATA!$L$3:$L$302,0))</f>
        <v>#N/A</v>
      </c>
      <c r="AC82" s="64"/>
      <c r="AD82" s="29"/>
      <c r="AE82" s="65"/>
      <c r="AF82" s="65"/>
      <c r="AG82" s="65"/>
      <c r="AH82" s="65"/>
      <c r="AI82" s="65"/>
      <c r="AJ82" s="65"/>
      <c r="AK82" s="65"/>
      <c r="AL82" s="65"/>
      <c r="AM82" s="65"/>
    </row>
    <row r="83" spans="1:39" ht="15.75" x14ac:dyDescent="0.3">
      <c r="A83" s="114">
        <f>IF(AND(NOT(MASTERDATA!I83="yes"),NOT(MASTERDATA!K83="yes")),MASTERDATA!L83,"")</f>
        <v>0</v>
      </c>
      <c r="B83" s="49" t="e">
        <f>INDEX(MASTERDATA!$V$3:$V$302,MATCH(ORDER!A83,MASTERDATA!$L$3:$L$302,0))</f>
        <v>#N/A</v>
      </c>
      <c r="C83" s="50" t="e">
        <f>INDEX(MASTERDATA!$W$3:$W$302,MATCH(ORDER!A83,MASTERDATA!$L$3:$L$302,0))</f>
        <v>#N/A</v>
      </c>
      <c r="D83" s="51">
        <f ca="1">DATE(YEAR(BRAND!$B$1),MONTH(BRAND!$B$1)+MASTERDATA!Q83,DAY(1))</f>
        <v>42979</v>
      </c>
      <c r="E83" s="52" t="e">
        <f>INDEX(MASTERDATA!$AF$3:$AF$302,MATCH(ORDER!A83,MASTERDATA!$L$3:$L$302,0))</f>
        <v>#N/A</v>
      </c>
      <c r="F83" s="52" t="e">
        <f>INDEX(MASTERDATA!$AH$3:$AH$302,MATCH(ORDER!A83,MASTERDATA!$L$3:$L$302,0))</f>
        <v>#N/A</v>
      </c>
      <c r="G83" s="76"/>
      <c r="H83" s="113">
        <f t="shared" si="5"/>
        <v>0</v>
      </c>
      <c r="I83" s="79" t="str">
        <f ca="1">IFERROR(VLOOKUP(A83&amp;"New PO-Net QTY",BRAND!$F$5:$X$825,MATCH(ORDER!D83,BRAND!$G$5:$X$5,0)+1,0),"")</f>
        <v/>
      </c>
      <c r="J83" s="53">
        <f t="shared" ca="1" si="6"/>
        <v>0</v>
      </c>
      <c r="K83" s="53">
        <f t="shared" ca="1" si="7"/>
        <v>0</v>
      </c>
      <c r="L83" s="54" t="e">
        <f ca="1">J83*INDEX(MASTERDATA!$AA$3:$AA$302,MATCH(ORDER!A83,MASTERDATA!$L$3:$L$302,0))</f>
        <v>#N/A</v>
      </c>
      <c r="M83" s="55">
        <f ca="1">IFERROR(INDEX(MASTERDATA!$AC$3:$AC$302,MATCH(ORDER!A83,MASTERDATA!$L$3:$L$302,0))*I83,0)</f>
        <v>0</v>
      </c>
      <c r="N83" s="56"/>
      <c r="O83" s="115">
        <f t="shared" si="8"/>
        <v>0</v>
      </c>
      <c r="P83" s="57" t="e">
        <f>INDEX(MASTERDATA!$M$3:$M$302,MATCH(ORDER!A83,MASTERDATA!$L$3:$L$302,0))</f>
        <v>#N/A</v>
      </c>
      <c r="Q83" s="58" t="e">
        <f>INDEX(MASTERDATA!$N$3:$N$302,MATCH(ORDER!A83,MASTERDATA!$L$3:$L$302,0))</f>
        <v>#N/A</v>
      </c>
      <c r="R83" s="57" t="str">
        <f t="shared" si="9"/>
        <v/>
      </c>
      <c r="S83" s="59"/>
      <c r="T83" s="59"/>
      <c r="U83" s="57" t="e">
        <f>INDEX(MASTERDATA!$AA$3:$AA$302,MATCH(ORDER!A83,MASTERDATA!$L$3:$L$302,0))*S83</f>
        <v>#N/A</v>
      </c>
      <c r="V83" s="60">
        <f>IFERROR(INDEX(MASTERDATA!$AC$3:$AC$302,MATCH(ORDER!A83,MASTERDATA!$L$3:$L$302,0))*R83,0)</f>
        <v>0</v>
      </c>
      <c r="W83" s="112" t="str">
        <f ca="1">IF(ISNUMBER(I83),VLOOKUP(A83&amp;"DSI End Period",BRAND!$F$5:$X$815,MATCH(D83,BRAND!$G$5:$X$5)+1,0),"")</f>
        <v/>
      </c>
      <c r="X83" s="61"/>
      <c r="Y83" s="62">
        <f>MASTERDATA!R83</f>
        <v>0</v>
      </c>
      <c r="Z83" s="63" t="e">
        <f>INDEX(MASTERDATA!$S$3:$S$302,MATCH(ORDER!A83,MASTERDATA!$L$3:$L$302,0))</f>
        <v>#N/A</v>
      </c>
      <c r="AA83" s="63" t="e">
        <f>INDEX(MASTERDATA!$U$3:$U$302,MATCH(ORDER!A83,MASTERDATA!$L$3:$L$302,0))</f>
        <v>#N/A</v>
      </c>
      <c r="AB83" s="62" t="e">
        <f>INDEX(MASTERDATA!$H$3:$H$302,MATCH(ORDER!A83,MASTERDATA!$L$3:$L$302,0))</f>
        <v>#N/A</v>
      </c>
    </row>
    <row r="84" spans="1:39" ht="15.75" hidden="1" x14ac:dyDescent="0.3">
      <c r="A84" s="114">
        <f>IF(AND(NOT(MASTERDATA!I84="yes"),NOT(MASTERDATA!K84="yes")),MASTERDATA!L84,"")</f>
        <v>0</v>
      </c>
      <c r="B84" s="49" t="e">
        <f>INDEX(MASTERDATA!$V$3:$V$302,MATCH(ORDER!A84,MASTERDATA!$L$3:$L$302,0))</f>
        <v>#N/A</v>
      </c>
      <c r="C84" s="50" t="e">
        <f>INDEX(MASTERDATA!$W$3:$W$302,MATCH(ORDER!A84,MASTERDATA!$L$3:$L$302,0))</f>
        <v>#N/A</v>
      </c>
      <c r="D84" s="51">
        <f ca="1">DATE(YEAR(BRAND!$B$1),MONTH(BRAND!$B$1)+MASTERDATA!Q84,DAY(1))</f>
        <v>42979</v>
      </c>
      <c r="E84" s="52" t="e">
        <f>INDEX(MASTERDATA!$AF$3:$AF$302,MATCH(ORDER!A84,MASTERDATA!$L$3:$L$302,0))</f>
        <v>#N/A</v>
      </c>
      <c r="F84" s="52" t="e">
        <f>INDEX(MASTERDATA!$AH$3:$AH$302,MATCH(ORDER!A84,MASTERDATA!$L$3:$L$302,0))</f>
        <v>#N/A</v>
      </c>
      <c r="G84" s="76"/>
      <c r="H84" s="113">
        <f t="shared" si="5"/>
        <v>0</v>
      </c>
      <c r="I84" s="79" t="str">
        <f ca="1">IFERROR(VLOOKUP(A84&amp;"New PO-Net QTY",BRAND!$F$5:$X$825,MATCH(ORDER!D84,BRAND!$G$5:$X$5,0)+1,0),"")</f>
        <v/>
      </c>
      <c r="J84" s="53">
        <f t="shared" ca="1" si="6"/>
        <v>0</v>
      </c>
      <c r="K84" s="53">
        <f t="shared" ca="1" si="7"/>
        <v>0</v>
      </c>
      <c r="L84" s="54" t="e">
        <f ca="1">J84*INDEX(MASTERDATA!$AA$3:$AA$302,MATCH(ORDER!A84,MASTERDATA!$L$3:$L$302,0))</f>
        <v>#N/A</v>
      </c>
      <c r="M84" s="55">
        <f ca="1">IFERROR(INDEX(MASTERDATA!$AC$3:$AC$302,MATCH(ORDER!A84,MASTERDATA!$L$3:$L$302,0))*I84,0)</f>
        <v>0</v>
      </c>
      <c r="N84" s="56"/>
      <c r="O84" s="115">
        <f t="shared" si="8"/>
        <v>0</v>
      </c>
      <c r="P84" s="57" t="e">
        <f>INDEX(MASTERDATA!$M$3:$M$302,MATCH(ORDER!A84,MASTERDATA!$L$3:$L$302,0))</f>
        <v>#N/A</v>
      </c>
      <c r="Q84" s="58" t="e">
        <f>INDEX(MASTERDATA!$N$3:$N$302,MATCH(ORDER!A84,MASTERDATA!$L$3:$L$302,0))</f>
        <v>#N/A</v>
      </c>
      <c r="R84" s="57" t="str">
        <f t="shared" si="9"/>
        <v/>
      </c>
      <c r="S84" s="59"/>
      <c r="T84" s="59"/>
      <c r="U84" s="57" t="e">
        <f>INDEX(MASTERDATA!$AA$3:$AA$302,MATCH(ORDER!A84,MASTERDATA!$L$3:$L$302,0))*S84</f>
        <v>#N/A</v>
      </c>
      <c r="V84" s="60">
        <f>IFERROR(INDEX(MASTERDATA!$AC$3:$AC$302,MATCH(ORDER!A84,MASTERDATA!$L$3:$L$302,0))*R84,0)</f>
        <v>0</v>
      </c>
      <c r="W84" s="112" t="str">
        <f ca="1">IF(ISNUMBER(I84),VLOOKUP(A84&amp;"DSI End Period",BRAND!$F$5:$X$815,MATCH(D84,BRAND!$G$5:$X$5)+1,0),"")</f>
        <v/>
      </c>
      <c r="X84" s="61"/>
      <c r="Y84" s="62">
        <f>MASTERDATA!R84</f>
        <v>0</v>
      </c>
      <c r="Z84" s="63" t="e">
        <f>INDEX(MASTERDATA!$S$3:$S$302,MATCH(ORDER!A84,MASTERDATA!$L$3:$L$302,0))</f>
        <v>#N/A</v>
      </c>
      <c r="AA84" s="63" t="e">
        <f>INDEX(MASTERDATA!$U$3:$U$302,MATCH(ORDER!A84,MASTERDATA!$L$3:$L$302,0))</f>
        <v>#N/A</v>
      </c>
      <c r="AB84" s="62" t="e">
        <f>INDEX(MASTERDATA!$H$3:$H$302,MATCH(ORDER!A84,MASTERDATA!$L$3:$L$302,0))</f>
        <v>#N/A</v>
      </c>
      <c r="AC84" s="64"/>
      <c r="AD84" s="29"/>
      <c r="AE84" s="65"/>
      <c r="AF84" s="65"/>
      <c r="AG84" s="65"/>
      <c r="AH84" s="65"/>
      <c r="AI84" s="65"/>
      <c r="AJ84" s="65"/>
      <c r="AK84" s="65"/>
      <c r="AL84" s="65"/>
      <c r="AM84" s="65"/>
    </row>
    <row r="85" spans="1:39" ht="15.75" x14ac:dyDescent="0.3">
      <c r="A85" s="114">
        <f>IF(AND(NOT(MASTERDATA!I85="yes"),NOT(MASTERDATA!K85="yes")),MASTERDATA!L85,"")</f>
        <v>0</v>
      </c>
      <c r="B85" s="49" t="e">
        <f>INDEX(MASTERDATA!$V$3:$V$302,MATCH(ORDER!A85,MASTERDATA!$L$3:$L$302,0))</f>
        <v>#N/A</v>
      </c>
      <c r="C85" s="50" t="e">
        <f>INDEX(MASTERDATA!$W$3:$W$302,MATCH(ORDER!A85,MASTERDATA!$L$3:$L$302,0))</f>
        <v>#N/A</v>
      </c>
      <c r="D85" s="51">
        <f ca="1">DATE(YEAR(BRAND!$B$1),MONTH(BRAND!$B$1)+MASTERDATA!Q85,DAY(1))</f>
        <v>42979</v>
      </c>
      <c r="E85" s="52" t="e">
        <f>INDEX(MASTERDATA!$AF$3:$AF$302,MATCH(ORDER!A85,MASTERDATA!$L$3:$L$302,0))</f>
        <v>#N/A</v>
      </c>
      <c r="F85" s="52" t="e">
        <f>INDEX(MASTERDATA!$AH$3:$AH$302,MATCH(ORDER!A85,MASTERDATA!$L$3:$L$302,0))</f>
        <v>#N/A</v>
      </c>
      <c r="G85" s="76"/>
      <c r="H85" s="113">
        <f t="shared" si="5"/>
        <v>0</v>
      </c>
      <c r="I85" s="79" t="str">
        <f ca="1">IFERROR(VLOOKUP(A85&amp;"New PO-Net QTY",BRAND!$F$5:$X$825,MATCH(ORDER!D85,BRAND!$G$5:$X$5,0)+1,0),"")</f>
        <v/>
      </c>
      <c r="J85" s="53">
        <f t="shared" ca="1" si="6"/>
        <v>0</v>
      </c>
      <c r="K85" s="53">
        <f t="shared" ca="1" si="7"/>
        <v>0</v>
      </c>
      <c r="L85" s="54" t="e">
        <f ca="1">J85*INDEX(MASTERDATA!$AA$3:$AA$302,MATCH(ORDER!A85,MASTERDATA!$L$3:$L$302,0))</f>
        <v>#N/A</v>
      </c>
      <c r="M85" s="55">
        <f ca="1">IFERROR(INDEX(MASTERDATA!$AC$3:$AC$302,MATCH(ORDER!A85,MASTERDATA!$L$3:$L$302,0))*I85,0)</f>
        <v>0</v>
      </c>
      <c r="N85" s="56"/>
      <c r="O85" s="115">
        <f t="shared" si="8"/>
        <v>0</v>
      </c>
      <c r="P85" s="57" t="e">
        <f>INDEX(MASTERDATA!$M$3:$M$302,MATCH(ORDER!A85,MASTERDATA!$L$3:$L$302,0))</f>
        <v>#N/A</v>
      </c>
      <c r="Q85" s="58" t="e">
        <f>INDEX(MASTERDATA!$N$3:$N$302,MATCH(ORDER!A85,MASTERDATA!$L$3:$L$302,0))</f>
        <v>#N/A</v>
      </c>
      <c r="R85" s="57" t="str">
        <f t="shared" si="9"/>
        <v/>
      </c>
      <c r="S85" s="59"/>
      <c r="T85" s="59"/>
      <c r="U85" s="57" t="e">
        <f>INDEX(MASTERDATA!$AA$3:$AA$302,MATCH(ORDER!A85,MASTERDATA!$L$3:$L$302,0))*S85</f>
        <v>#N/A</v>
      </c>
      <c r="V85" s="60">
        <f>IFERROR(INDEX(MASTERDATA!$AC$3:$AC$302,MATCH(ORDER!A85,MASTERDATA!$L$3:$L$302,0))*R85,0)</f>
        <v>0</v>
      </c>
      <c r="W85" s="112" t="str">
        <f ca="1">IF(ISNUMBER(I85),VLOOKUP(A85&amp;"DSI End Period",BRAND!$F$5:$X$815,MATCH(D85,BRAND!$G$5:$X$5)+1,0),"")</f>
        <v/>
      </c>
      <c r="X85" s="61"/>
      <c r="Y85" s="62">
        <f>MASTERDATA!R85</f>
        <v>0</v>
      </c>
      <c r="Z85" s="63" t="e">
        <f>INDEX(MASTERDATA!$S$3:$S$302,MATCH(ORDER!A85,MASTERDATA!$L$3:$L$302,0))</f>
        <v>#N/A</v>
      </c>
      <c r="AA85" s="63" t="e">
        <f>INDEX(MASTERDATA!$U$3:$U$302,MATCH(ORDER!A85,MASTERDATA!$L$3:$L$302,0))</f>
        <v>#N/A</v>
      </c>
      <c r="AB85" s="62" t="e">
        <f>INDEX(MASTERDATA!$H$3:$H$302,MATCH(ORDER!A85,MASTERDATA!$L$3:$L$302,0))</f>
        <v>#N/A</v>
      </c>
    </row>
    <row r="86" spans="1:39" ht="15.75" hidden="1" x14ac:dyDescent="0.3">
      <c r="A86" s="114">
        <f>IF(AND(NOT(MASTERDATA!I86="yes"),NOT(MASTERDATA!K86="yes")),MASTERDATA!L86,"")</f>
        <v>0</v>
      </c>
      <c r="B86" s="49" t="e">
        <f>INDEX(MASTERDATA!$V$3:$V$302,MATCH(ORDER!A86,MASTERDATA!$L$3:$L$302,0))</f>
        <v>#N/A</v>
      </c>
      <c r="C86" s="50" t="e">
        <f>INDEX(MASTERDATA!$W$3:$W$302,MATCH(ORDER!A86,MASTERDATA!$L$3:$L$302,0))</f>
        <v>#N/A</v>
      </c>
      <c r="D86" s="51">
        <f ca="1">DATE(YEAR(BRAND!$B$1),MONTH(BRAND!$B$1)+MASTERDATA!Q86,DAY(1))</f>
        <v>42979</v>
      </c>
      <c r="E86" s="52" t="e">
        <f>INDEX(MASTERDATA!$AF$3:$AF$302,MATCH(ORDER!A86,MASTERDATA!$L$3:$L$302,0))</f>
        <v>#N/A</v>
      </c>
      <c r="F86" s="52" t="e">
        <f>INDEX(MASTERDATA!$AH$3:$AH$302,MATCH(ORDER!A86,MASTERDATA!$L$3:$L$302,0))</f>
        <v>#N/A</v>
      </c>
      <c r="G86" s="76"/>
      <c r="H86" s="113">
        <f t="shared" si="5"/>
        <v>0</v>
      </c>
      <c r="I86" s="79" t="str">
        <f ca="1">IFERROR(VLOOKUP(A86&amp;"New PO-Net QTY",BRAND!$F$5:$X$825,MATCH(ORDER!D86,BRAND!$G$5:$X$5,0)+1,0),"")</f>
        <v/>
      </c>
      <c r="J86" s="53">
        <f t="shared" ca="1" si="6"/>
        <v>0</v>
      </c>
      <c r="K86" s="53">
        <f t="shared" ca="1" si="7"/>
        <v>0</v>
      </c>
      <c r="L86" s="54" t="e">
        <f ca="1">J86*INDEX(MASTERDATA!$AA$3:$AA$302,MATCH(ORDER!A86,MASTERDATA!$L$3:$L$302,0))</f>
        <v>#N/A</v>
      </c>
      <c r="M86" s="55">
        <f ca="1">IFERROR(INDEX(MASTERDATA!$AC$3:$AC$302,MATCH(ORDER!A86,MASTERDATA!$L$3:$L$302,0))*I86,0)</f>
        <v>0</v>
      </c>
      <c r="N86" s="56"/>
      <c r="O86" s="115">
        <f t="shared" si="8"/>
        <v>0</v>
      </c>
      <c r="P86" s="57" t="e">
        <f>INDEX(MASTERDATA!$M$3:$M$302,MATCH(ORDER!A86,MASTERDATA!$L$3:$L$302,0))</f>
        <v>#N/A</v>
      </c>
      <c r="Q86" s="58" t="e">
        <f>INDEX(MASTERDATA!$N$3:$N$302,MATCH(ORDER!A86,MASTERDATA!$L$3:$L$302,0))</f>
        <v>#N/A</v>
      </c>
      <c r="R86" s="57" t="str">
        <f t="shared" si="9"/>
        <v/>
      </c>
      <c r="S86" s="59"/>
      <c r="T86" s="59"/>
      <c r="U86" s="57" t="e">
        <f>INDEX(MASTERDATA!$AA$3:$AA$302,MATCH(ORDER!A86,MASTERDATA!$L$3:$L$302,0))*S86</f>
        <v>#N/A</v>
      </c>
      <c r="V86" s="60">
        <f>IFERROR(INDEX(MASTERDATA!$AC$3:$AC$302,MATCH(ORDER!A86,MASTERDATA!$L$3:$L$302,0))*R86,0)</f>
        <v>0</v>
      </c>
      <c r="W86" s="112" t="str">
        <f ca="1">IF(ISNUMBER(I86),VLOOKUP(A86&amp;"DSI End Period",BRAND!$F$5:$X$815,MATCH(D86,BRAND!$G$5:$X$5)+1,0),"")</f>
        <v/>
      </c>
      <c r="X86" s="61"/>
      <c r="Y86" s="62">
        <f>MASTERDATA!R86</f>
        <v>0</v>
      </c>
      <c r="Z86" s="63" t="e">
        <f>INDEX(MASTERDATA!$S$3:$S$302,MATCH(ORDER!A86,MASTERDATA!$L$3:$L$302,0))</f>
        <v>#N/A</v>
      </c>
      <c r="AA86" s="63" t="e">
        <f>INDEX(MASTERDATA!$U$3:$U$302,MATCH(ORDER!A86,MASTERDATA!$L$3:$L$302,0))</f>
        <v>#N/A</v>
      </c>
      <c r="AB86" s="62" t="e">
        <f>INDEX(MASTERDATA!$H$3:$H$302,MATCH(ORDER!A86,MASTERDATA!$L$3:$L$302,0))</f>
        <v>#N/A</v>
      </c>
      <c r="AC86" s="64"/>
      <c r="AD86" s="29"/>
      <c r="AE86" s="65"/>
      <c r="AF86" s="65"/>
      <c r="AG86" s="65"/>
      <c r="AH86" s="65"/>
      <c r="AI86" s="65"/>
      <c r="AJ86" s="65"/>
      <c r="AK86" s="65"/>
      <c r="AL86" s="65"/>
      <c r="AM86" s="65"/>
    </row>
    <row r="87" spans="1:39" ht="15.75" x14ac:dyDescent="0.3">
      <c r="A87" s="114">
        <f>IF(AND(NOT(MASTERDATA!I87="yes"),NOT(MASTERDATA!K87="yes")),MASTERDATA!L87,"")</f>
        <v>0</v>
      </c>
      <c r="B87" s="49" t="e">
        <f>INDEX(MASTERDATA!$V$3:$V$302,MATCH(ORDER!A87,MASTERDATA!$L$3:$L$302,0))</f>
        <v>#N/A</v>
      </c>
      <c r="C87" s="50" t="e">
        <f>INDEX(MASTERDATA!$W$3:$W$302,MATCH(ORDER!A87,MASTERDATA!$L$3:$L$302,0))</f>
        <v>#N/A</v>
      </c>
      <c r="D87" s="51">
        <f ca="1">DATE(YEAR(BRAND!$B$1),MONTH(BRAND!$B$1)+MASTERDATA!Q87,DAY(1))</f>
        <v>42979</v>
      </c>
      <c r="E87" s="52" t="e">
        <f>INDEX(MASTERDATA!$AF$3:$AF$302,MATCH(ORDER!A87,MASTERDATA!$L$3:$L$302,0))</f>
        <v>#N/A</v>
      </c>
      <c r="F87" s="52" t="e">
        <f>INDEX(MASTERDATA!$AH$3:$AH$302,MATCH(ORDER!A87,MASTERDATA!$L$3:$L$302,0))</f>
        <v>#N/A</v>
      </c>
      <c r="G87" s="76"/>
      <c r="H87" s="113">
        <f t="shared" si="5"/>
        <v>0</v>
      </c>
      <c r="I87" s="79" t="str">
        <f ca="1">IFERROR(VLOOKUP(A87&amp;"New PO-Net QTY",BRAND!$F$5:$X$825,MATCH(ORDER!D87,BRAND!$G$5:$X$5,0)+1,0),"")</f>
        <v/>
      </c>
      <c r="J87" s="53">
        <f t="shared" ca="1" si="6"/>
        <v>0</v>
      </c>
      <c r="K87" s="53">
        <f t="shared" ca="1" si="7"/>
        <v>0</v>
      </c>
      <c r="L87" s="54" t="e">
        <f ca="1">J87*INDEX(MASTERDATA!$AA$3:$AA$302,MATCH(ORDER!A87,MASTERDATA!$L$3:$L$302,0))</f>
        <v>#N/A</v>
      </c>
      <c r="M87" s="55">
        <f ca="1">IFERROR(INDEX(MASTERDATA!$AC$3:$AC$302,MATCH(ORDER!A87,MASTERDATA!$L$3:$L$302,0))*I87,0)</f>
        <v>0</v>
      </c>
      <c r="N87" s="56"/>
      <c r="O87" s="115">
        <f t="shared" si="8"/>
        <v>0</v>
      </c>
      <c r="P87" s="57" t="e">
        <f>INDEX(MASTERDATA!$M$3:$M$302,MATCH(ORDER!A87,MASTERDATA!$L$3:$L$302,0))</f>
        <v>#N/A</v>
      </c>
      <c r="Q87" s="58" t="e">
        <f>INDEX(MASTERDATA!$N$3:$N$302,MATCH(ORDER!A87,MASTERDATA!$L$3:$L$302,0))</f>
        <v>#N/A</v>
      </c>
      <c r="R87" s="57" t="str">
        <f t="shared" si="9"/>
        <v/>
      </c>
      <c r="S87" s="59"/>
      <c r="T87" s="59"/>
      <c r="U87" s="57" t="e">
        <f>INDEX(MASTERDATA!$AA$3:$AA$302,MATCH(ORDER!A87,MASTERDATA!$L$3:$L$302,0))*S87</f>
        <v>#N/A</v>
      </c>
      <c r="V87" s="60">
        <f>IFERROR(INDEX(MASTERDATA!$AC$3:$AC$302,MATCH(ORDER!A87,MASTERDATA!$L$3:$L$302,0))*R87,0)</f>
        <v>0</v>
      </c>
      <c r="W87" s="112" t="str">
        <f ca="1">IF(ISNUMBER(I87),VLOOKUP(A87&amp;"DSI End Period",BRAND!$F$5:$X$815,MATCH(D87,BRAND!$G$5:$X$5)+1,0),"")</f>
        <v/>
      </c>
      <c r="X87" s="61"/>
      <c r="Y87" s="62">
        <f>MASTERDATA!R87</f>
        <v>0</v>
      </c>
      <c r="Z87" s="63" t="e">
        <f>INDEX(MASTERDATA!$S$3:$S$302,MATCH(ORDER!A87,MASTERDATA!$L$3:$L$302,0))</f>
        <v>#N/A</v>
      </c>
      <c r="AA87" s="63" t="e">
        <f>INDEX(MASTERDATA!$U$3:$U$302,MATCH(ORDER!A87,MASTERDATA!$L$3:$L$302,0))</f>
        <v>#N/A</v>
      </c>
      <c r="AB87" s="62" t="e">
        <f>INDEX(MASTERDATA!$H$3:$H$302,MATCH(ORDER!A87,MASTERDATA!$L$3:$L$302,0))</f>
        <v>#N/A</v>
      </c>
    </row>
    <row r="88" spans="1:39" ht="15.75" hidden="1" x14ac:dyDescent="0.3">
      <c r="A88" s="114">
        <f>IF(AND(NOT(MASTERDATA!I88="yes"),NOT(MASTERDATA!K88="yes")),MASTERDATA!L88,"")</f>
        <v>0</v>
      </c>
      <c r="B88" s="49" t="e">
        <f>INDEX(MASTERDATA!$V$3:$V$302,MATCH(ORDER!A88,MASTERDATA!$L$3:$L$302,0))</f>
        <v>#N/A</v>
      </c>
      <c r="C88" s="50" t="e">
        <f>INDEX(MASTERDATA!$W$3:$W$302,MATCH(ORDER!A88,MASTERDATA!$L$3:$L$302,0))</f>
        <v>#N/A</v>
      </c>
      <c r="D88" s="51">
        <f ca="1">DATE(YEAR(BRAND!$B$1),MONTH(BRAND!$B$1)+MASTERDATA!Q88,DAY(1))</f>
        <v>42979</v>
      </c>
      <c r="E88" s="52" t="e">
        <f>INDEX(MASTERDATA!$AF$3:$AF$302,MATCH(ORDER!A88,MASTERDATA!$L$3:$L$302,0))</f>
        <v>#N/A</v>
      </c>
      <c r="F88" s="52" t="e">
        <f>INDEX(MASTERDATA!$AH$3:$AH$302,MATCH(ORDER!A88,MASTERDATA!$L$3:$L$302,0))</f>
        <v>#N/A</v>
      </c>
      <c r="G88" s="76"/>
      <c r="H88" s="113">
        <f t="shared" si="5"/>
        <v>0</v>
      </c>
      <c r="I88" s="79" t="str">
        <f ca="1">IFERROR(VLOOKUP(A88&amp;"New PO-Net QTY",BRAND!$F$5:$X$825,MATCH(ORDER!D88,BRAND!$G$5:$X$5,0)+1,0),"")</f>
        <v/>
      </c>
      <c r="J88" s="53">
        <f t="shared" ca="1" si="6"/>
        <v>0</v>
      </c>
      <c r="K88" s="53">
        <f t="shared" ca="1" si="7"/>
        <v>0</v>
      </c>
      <c r="L88" s="54" t="e">
        <f ca="1">J88*INDEX(MASTERDATA!$AA$3:$AA$302,MATCH(ORDER!A88,MASTERDATA!$L$3:$L$302,0))</f>
        <v>#N/A</v>
      </c>
      <c r="M88" s="55">
        <f ca="1">IFERROR(INDEX(MASTERDATA!$AC$3:$AC$302,MATCH(ORDER!A88,MASTERDATA!$L$3:$L$302,0))*I88,0)</f>
        <v>0</v>
      </c>
      <c r="N88" s="56"/>
      <c r="O88" s="115">
        <f t="shared" si="8"/>
        <v>0</v>
      </c>
      <c r="P88" s="57" t="e">
        <f>INDEX(MASTERDATA!$M$3:$M$302,MATCH(ORDER!A88,MASTERDATA!$L$3:$L$302,0))</f>
        <v>#N/A</v>
      </c>
      <c r="Q88" s="58" t="e">
        <f>INDEX(MASTERDATA!$N$3:$N$302,MATCH(ORDER!A88,MASTERDATA!$L$3:$L$302,0))</f>
        <v>#N/A</v>
      </c>
      <c r="R88" s="57" t="str">
        <f t="shared" si="9"/>
        <v/>
      </c>
      <c r="S88" s="59"/>
      <c r="T88" s="59"/>
      <c r="U88" s="57" t="e">
        <f>INDEX(MASTERDATA!$AA$3:$AA$302,MATCH(ORDER!A88,MASTERDATA!$L$3:$L$302,0))*S88</f>
        <v>#N/A</v>
      </c>
      <c r="V88" s="60">
        <f>IFERROR(INDEX(MASTERDATA!$AC$3:$AC$302,MATCH(ORDER!A88,MASTERDATA!$L$3:$L$302,0))*R88,0)</f>
        <v>0</v>
      </c>
      <c r="W88" s="112" t="str">
        <f ca="1">IF(ISNUMBER(I88),VLOOKUP(A88&amp;"DSI End Period",BRAND!$F$5:$X$815,MATCH(D88,BRAND!$G$5:$X$5)+1,0),"")</f>
        <v/>
      </c>
      <c r="X88" s="61"/>
      <c r="Y88" s="62">
        <f>MASTERDATA!R88</f>
        <v>0</v>
      </c>
      <c r="Z88" s="63" t="e">
        <f>INDEX(MASTERDATA!$S$3:$S$302,MATCH(ORDER!A88,MASTERDATA!$L$3:$L$302,0))</f>
        <v>#N/A</v>
      </c>
      <c r="AA88" s="63" t="e">
        <f>INDEX(MASTERDATA!$U$3:$U$302,MATCH(ORDER!A88,MASTERDATA!$L$3:$L$302,0))</f>
        <v>#N/A</v>
      </c>
      <c r="AB88" s="62" t="e">
        <f>INDEX(MASTERDATA!$H$3:$H$302,MATCH(ORDER!A88,MASTERDATA!$L$3:$L$302,0))</f>
        <v>#N/A</v>
      </c>
      <c r="AC88" s="64"/>
      <c r="AD88" s="29"/>
      <c r="AE88" s="65"/>
      <c r="AF88" s="65"/>
      <c r="AG88" s="65"/>
      <c r="AH88" s="65"/>
      <c r="AI88" s="65"/>
      <c r="AJ88" s="65"/>
      <c r="AK88" s="65"/>
      <c r="AL88" s="65"/>
      <c r="AM88" s="65"/>
    </row>
    <row r="89" spans="1:39" ht="15.75" x14ac:dyDescent="0.3">
      <c r="A89" s="114">
        <f>IF(AND(NOT(MASTERDATA!I89="yes"),NOT(MASTERDATA!K89="yes")),MASTERDATA!L89,"")</f>
        <v>0</v>
      </c>
      <c r="B89" s="49" t="e">
        <f>INDEX(MASTERDATA!$V$3:$V$302,MATCH(ORDER!A89,MASTERDATA!$L$3:$L$302,0))</f>
        <v>#N/A</v>
      </c>
      <c r="C89" s="50" t="e">
        <f>INDEX(MASTERDATA!$W$3:$W$302,MATCH(ORDER!A89,MASTERDATA!$L$3:$L$302,0))</f>
        <v>#N/A</v>
      </c>
      <c r="D89" s="51">
        <f ca="1">DATE(YEAR(BRAND!$B$1),MONTH(BRAND!$B$1)+MASTERDATA!Q89,DAY(1))</f>
        <v>42979</v>
      </c>
      <c r="E89" s="52" t="e">
        <f>INDEX(MASTERDATA!$AF$3:$AF$302,MATCH(ORDER!A89,MASTERDATA!$L$3:$L$302,0))</f>
        <v>#N/A</v>
      </c>
      <c r="F89" s="52" t="e">
        <f>INDEX(MASTERDATA!$AH$3:$AH$302,MATCH(ORDER!A89,MASTERDATA!$L$3:$L$302,0))</f>
        <v>#N/A</v>
      </c>
      <c r="G89" s="76"/>
      <c r="H89" s="113">
        <f t="shared" si="5"/>
        <v>0</v>
      </c>
      <c r="I89" s="79" t="str">
        <f ca="1">IFERROR(VLOOKUP(A89&amp;"New PO-Net QTY",BRAND!$F$5:$X$825,MATCH(ORDER!D89,BRAND!$G$5:$X$5,0)+1,0),"")</f>
        <v/>
      </c>
      <c r="J89" s="53">
        <f t="shared" ca="1" si="6"/>
        <v>0</v>
      </c>
      <c r="K89" s="53">
        <f t="shared" ca="1" si="7"/>
        <v>0</v>
      </c>
      <c r="L89" s="54" t="e">
        <f ca="1">J89*INDEX(MASTERDATA!$AA$3:$AA$302,MATCH(ORDER!A89,MASTERDATA!$L$3:$L$302,0))</f>
        <v>#N/A</v>
      </c>
      <c r="M89" s="55">
        <f ca="1">IFERROR(INDEX(MASTERDATA!$AC$3:$AC$302,MATCH(ORDER!A89,MASTERDATA!$L$3:$L$302,0))*I89,0)</f>
        <v>0</v>
      </c>
      <c r="N89" s="56"/>
      <c r="O89" s="115">
        <f t="shared" si="8"/>
        <v>0</v>
      </c>
      <c r="P89" s="57" t="e">
        <f>INDEX(MASTERDATA!$M$3:$M$302,MATCH(ORDER!A89,MASTERDATA!$L$3:$L$302,0))</f>
        <v>#N/A</v>
      </c>
      <c r="Q89" s="58" t="e">
        <f>INDEX(MASTERDATA!$N$3:$N$302,MATCH(ORDER!A89,MASTERDATA!$L$3:$L$302,0))</f>
        <v>#N/A</v>
      </c>
      <c r="R89" s="57" t="str">
        <f t="shared" si="9"/>
        <v/>
      </c>
      <c r="S89" s="59"/>
      <c r="T89" s="59"/>
      <c r="U89" s="57" t="e">
        <f>INDEX(MASTERDATA!$AA$3:$AA$302,MATCH(ORDER!A89,MASTERDATA!$L$3:$L$302,0))*S89</f>
        <v>#N/A</v>
      </c>
      <c r="V89" s="60">
        <f>IFERROR(INDEX(MASTERDATA!$AC$3:$AC$302,MATCH(ORDER!A89,MASTERDATA!$L$3:$L$302,0))*R89,0)</f>
        <v>0</v>
      </c>
      <c r="W89" s="112" t="str">
        <f ca="1">IF(ISNUMBER(I89),VLOOKUP(A89&amp;"DSI End Period",BRAND!$F$5:$X$815,MATCH(D89,BRAND!$G$5:$X$5)+1,0),"")</f>
        <v/>
      </c>
      <c r="X89" s="61"/>
      <c r="Y89" s="62">
        <f>MASTERDATA!R89</f>
        <v>0</v>
      </c>
      <c r="Z89" s="63" t="e">
        <f>INDEX(MASTERDATA!$S$3:$S$302,MATCH(ORDER!A89,MASTERDATA!$L$3:$L$302,0))</f>
        <v>#N/A</v>
      </c>
      <c r="AA89" s="63" t="e">
        <f>INDEX(MASTERDATA!$U$3:$U$302,MATCH(ORDER!A89,MASTERDATA!$L$3:$L$302,0))</f>
        <v>#N/A</v>
      </c>
      <c r="AB89" s="62" t="e">
        <f>INDEX(MASTERDATA!$H$3:$H$302,MATCH(ORDER!A89,MASTERDATA!$L$3:$L$302,0))</f>
        <v>#N/A</v>
      </c>
    </row>
    <row r="90" spans="1:39" ht="15.75" hidden="1" x14ac:dyDescent="0.3">
      <c r="A90" s="114">
        <f>IF(AND(NOT(MASTERDATA!I90="yes"),NOT(MASTERDATA!K90="yes")),MASTERDATA!L90,"")</f>
        <v>0</v>
      </c>
      <c r="B90" s="49" t="e">
        <f>INDEX(MASTERDATA!$V$3:$V$302,MATCH(ORDER!A90,MASTERDATA!$L$3:$L$302,0))</f>
        <v>#N/A</v>
      </c>
      <c r="C90" s="50" t="e">
        <f>INDEX(MASTERDATA!$W$3:$W$302,MATCH(ORDER!A90,MASTERDATA!$L$3:$L$302,0))</f>
        <v>#N/A</v>
      </c>
      <c r="D90" s="51">
        <f ca="1">DATE(YEAR(BRAND!$B$1),MONTH(BRAND!$B$1)+MASTERDATA!Q90,DAY(1))</f>
        <v>42979</v>
      </c>
      <c r="E90" s="52" t="e">
        <f>INDEX(MASTERDATA!$AF$3:$AF$302,MATCH(ORDER!A90,MASTERDATA!$L$3:$L$302,0))</f>
        <v>#N/A</v>
      </c>
      <c r="F90" s="52" t="e">
        <f>INDEX(MASTERDATA!$AH$3:$AH$302,MATCH(ORDER!A90,MASTERDATA!$L$3:$L$302,0))</f>
        <v>#N/A</v>
      </c>
      <c r="G90" s="76"/>
      <c r="H90" s="113">
        <f t="shared" si="5"/>
        <v>0</v>
      </c>
      <c r="I90" s="79" t="str">
        <f ca="1">IFERROR(VLOOKUP(A90&amp;"New PO-Net QTY",BRAND!$F$5:$X$825,MATCH(ORDER!D90,BRAND!$G$5:$X$5,0)+1,0),"")</f>
        <v/>
      </c>
      <c r="J90" s="53">
        <f t="shared" ca="1" si="6"/>
        <v>0</v>
      </c>
      <c r="K90" s="53">
        <f t="shared" ca="1" si="7"/>
        <v>0</v>
      </c>
      <c r="L90" s="54" t="e">
        <f ca="1">J90*INDEX(MASTERDATA!$AA$3:$AA$302,MATCH(ORDER!A90,MASTERDATA!$L$3:$L$302,0))</f>
        <v>#N/A</v>
      </c>
      <c r="M90" s="55">
        <f ca="1">IFERROR(INDEX(MASTERDATA!$AC$3:$AC$302,MATCH(ORDER!A90,MASTERDATA!$L$3:$L$302,0))*I90,0)</f>
        <v>0</v>
      </c>
      <c r="N90" s="56"/>
      <c r="O90" s="115">
        <f t="shared" si="8"/>
        <v>0</v>
      </c>
      <c r="P90" s="57" t="e">
        <f>INDEX(MASTERDATA!$M$3:$M$302,MATCH(ORDER!A90,MASTERDATA!$L$3:$L$302,0))</f>
        <v>#N/A</v>
      </c>
      <c r="Q90" s="58" t="e">
        <f>INDEX(MASTERDATA!$N$3:$N$302,MATCH(ORDER!A90,MASTERDATA!$L$3:$L$302,0))</f>
        <v>#N/A</v>
      </c>
      <c r="R90" s="57" t="str">
        <f t="shared" si="9"/>
        <v/>
      </c>
      <c r="S90" s="59"/>
      <c r="T90" s="59"/>
      <c r="U90" s="57" t="e">
        <f>INDEX(MASTERDATA!$AA$3:$AA$302,MATCH(ORDER!A90,MASTERDATA!$L$3:$L$302,0))*S90</f>
        <v>#N/A</v>
      </c>
      <c r="V90" s="60">
        <f>IFERROR(INDEX(MASTERDATA!$AC$3:$AC$302,MATCH(ORDER!A90,MASTERDATA!$L$3:$L$302,0))*R90,0)</f>
        <v>0</v>
      </c>
      <c r="W90" s="112" t="str">
        <f ca="1">IF(ISNUMBER(I90),VLOOKUP(A90&amp;"DSI End Period",BRAND!$F$5:$X$815,MATCH(D90,BRAND!$G$5:$X$5)+1,0),"")</f>
        <v/>
      </c>
      <c r="X90" s="61"/>
      <c r="Y90" s="62">
        <f>MASTERDATA!R90</f>
        <v>0</v>
      </c>
      <c r="Z90" s="63" t="e">
        <f>INDEX(MASTERDATA!$S$3:$S$302,MATCH(ORDER!A90,MASTERDATA!$L$3:$L$302,0))</f>
        <v>#N/A</v>
      </c>
      <c r="AA90" s="63" t="e">
        <f>INDEX(MASTERDATA!$U$3:$U$302,MATCH(ORDER!A90,MASTERDATA!$L$3:$L$302,0))</f>
        <v>#N/A</v>
      </c>
      <c r="AB90" s="62" t="e">
        <f>INDEX(MASTERDATA!$H$3:$H$302,MATCH(ORDER!A90,MASTERDATA!$L$3:$L$302,0))</f>
        <v>#N/A</v>
      </c>
      <c r="AC90" s="64"/>
      <c r="AD90" s="29"/>
      <c r="AE90" s="65"/>
      <c r="AF90" s="65"/>
      <c r="AG90" s="65"/>
      <c r="AH90" s="65"/>
      <c r="AI90" s="65"/>
      <c r="AJ90" s="65"/>
      <c r="AK90" s="65"/>
      <c r="AL90" s="65"/>
      <c r="AM90" s="65"/>
    </row>
    <row r="91" spans="1:39" ht="15.75" hidden="1" x14ac:dyDescent="0.3">
      <c r="A91" s="114">
        <f>IF(AND(NOT(MASTERDATA!I91="yes"),NOT(MASTERDATA!K91="yes")),MASTERDATA!L91,"")</f>
        <v>0</v>
      </c>
      <c r="B91" s="49" t="e">
        <f>INDEX(MASTERDATA!$V$3:$V$302,MATCH(ORDER!A91,MASTERDATA!$L$3:$L$302,0))</f>
        <v>#N/A</v>
      </c>
      <c r="C91" s="50" t="e">
        <f>INDEX(MASTERDATA!$W$3:$W$302,MATCH(ORDER!A91,MASTERDATA!$L$3:$L$302,0))</f>
        <v>#N/A</v>
      </c>
      <c r="D91" s="51">
        <f ca="1">DATE(YEAR(BRAND!$B$1),MONTH(BRAND!$B$1)+MASTERDATA!Q91,DAY(1))</f>
        <v>42979</v>
      </c>
      <c r="E91" s="52" t="e">
        <f>INDEX(MASTERDATA!$AF$3:$AF$302,MATCH(ORDER!A91,MASTERDATA!$L$3:$L$302,0))</f>
        <v>#N/A</v>
      </c>
      <c r="F91" s="52" t="e">
        <f>INDEX(MASTERDATA!$AH$3:$AH$302,MATCH(ORDER!A91,MASTERDATA!$L$3:$L$302,0))</f>
        <v>#N/A</v>
      </c>
      <c r="G91" s="76"/>
      <c r="H91" s="113">
        <f t="shared" si="5"/>
        <v>0</v>
      </c>
      <c r="I91" s="79" t="str">
        <f ca="1">IFERROR(VLOOKUP(A91&amp;"New PO-Net QTY",BRAND!$F$5:$X$825,MATCH(ORDER!D91,BRAND!$G$5:$X$5,0)+1,0),"")</f>
        <v/>
      </c>
      <c r="J91" s="53">
        <f t="shared" ca="1" si="6"/>
        <v>0</v>
      </c>
      <c r="K91" s="53">
        <f t="shared" ca="1" si="7"/>
        <v>0</v>
      </c>
      <c r="L91" s="54" t="e">
        <f ca="1">J91*INDEX(MASTERDATA!$AA$3:$AA$302,MATCH(ORDER!A91,MASTERDATA!$L$3:$L$302,0))</f>
        <v>#N/A</v>
      </c>
      <c r="M91" s="55">
        <f ca="1">IFERROR(INDEX(MASTERDATA!$AC$3:$AC$302,MATCH(ORDER!A91,MASTERDATA!$L$3:$L$302,0))*I91,0)</f>
        <v>0</v>
      </c>
      <c r="N91" s="56"/>
      <c r="O91" s="115">
        <f t="shared" si="8"/>
        <v>0</v>
      </c>
      <c r="P91" s="57" t="e">
        <f>INDEX(MASTERDATA!$M$3:$M$302,MATCH(ORDER!A91,MASTERDATA!$L$3:$L$302,0))</f>
        <v>#N/A</v>
      </c>
      <c r="Q91" s="58" t="e">
        <f>INDEX(MASTERDATA!$N$3:$N$302,MATCH(ORDER!A91,MASTERDATA!$L$3:$L$302,0))</f>
        <v>#N/A</v>
      </c>
      <c r="R91" s="57" t="str">
        <f t="shared" si="9"/>
        <v/>
      </c>
      <c r="S91" s="59"/>
      <c r="T91" s="59"/>
      <c r="U91" s="57" t="e">
        <f>INDEX(MASTERDATA!$AA$3:$AA$302,MATCH(ORDER!A91,MASTERDATA!$L$3:$L$302,0))*S91</f>
        <v>#N/A</v>
      </c>
      <c r="V91" s="60">
        <f>IFERROR(INDEX(MASTERDATA!$AC$3:$AC$302,MATCH(ORDER!A91,MASTERDATA!$L$3:$L$302,0))*R91,0)</f>
        <v>0</v>
      </c>
      <c r="W91" s="112" t="str">
        <f ca="1">IF(ISNUMBER(I91),VLOOKUP(A91&amp;"DSI End Period",BRAND!$F$5:$X$815,MATCH(D91,BRAND!$G$5:$X$5)+1,0),"")</f>
        <v/>
      </c>
      <c r="X91" s="61"/>
      <c r="Y91" s="62">
        <f>MASTERDATA!R91</f>
        <v>0</v>
      </c>
      <c r="Z91" s="63" t="e">
        <f>INDEX(MASTERDATA!$S$3:$S$302,MATCH(ORDER!A91,MASTERDATA!$L$3:$L$302,0))</f>
        <v>#N/A</v>
      </c>
      <c r="AA91" s="63" t="e">
        <f>INDEX(MASTERDATA!$U$3:$U$302,MATCH(ORDER!A91,MASTERDATA!$L$3:$L$302,0))</f>
        <v>#N/A</v>
      </c>
      <c r="AB91" s="62" t="e">
        <f>INDEX(MASTERDATA!$H$3:$H$302,MATCH(ORDER!A91,MASTERDATA!$L$3:$L$302,0))</f>
        <v>#N/A</v>
      </c>
      <c r="AC91" s="64"/>
      <c r="AD91" s="29"/>
      <c r="AE91" s="65"/>
      <c r="AF91" s="65"/>
      <c r="AG91" s="65"/>
      <c r="AH91" s="65"/>
      <c r="AI91" s="65"/>
      <c r="AJ91" s="65"/>
      <c r="AK91" s="65"/>
      <c r="AL91" s="65"/>
      <c r="AM91" s="65"/>
    </row>
    <row r="92" spans="1:39" ht="15.75" x14ac:dyDescent="0.3">
      <c r="A92" s="114">
        <f>IF(AND(NOT(MASTERDATA!I92="yes"),NOT(MASTERDATA!K92="yes")),MASTERDATA!L92,"")</f>
        <v>0</v>
      </c>
      <c r="B92" s="49" t="e">
        <f>INDEX(MASTERDATA!$V$3:$V$302,MATCH(ORDER!A92,MASTERDATA!$L$3:$L$302,0))</f>
        <v>#N/A</v>
      </c>
      <c r="C92" s="50" t="e">
        <f>INDEX(MASTERDATA!$W$3:$W$302,MATCH(ORDER!A92,MASTERDATA!$L$3:$L$302,0))</f>
        <v>#N/A</v>
      </c>
      <c r="D92" s="51">
        <f ca="1">DATE(YEAR(BRAND!$B$1),MONTH(BRAND!$B$1)+MASTERDATA!Q92,DAY(1))</f>
        <v>42979</v>
      </c>
      <c r="E92" s="52" t="e">
        <f>INDEX(MASTERDATA!$AF$3:$AF$302,MATCH(ORDER!A92,MASTERDATA!$L$3:$L$302,0))</f>
        <v>#N/A</v>
      </c>
      <c r="F92" s="52" t="e">
        <f>INDEX(MASTERDATA!$AH$3:$AH$302,MATCH(ORDER!A92,MASTERDATA!$L$3:$L$302,0))</f>
        <v>#N/A</v>
      </c>
      <c r="G92" s="76"/>
      <c r="H92" s="113">
        <f t="shared" si="5"/>
        <v>0</v>
      </c>
      <c r="I92" s="79" t="str">
        <f ca="1">IFERROR(VLOOKUP(A92&amp;"New PO-Net QTY",BRAND!$F$5:$X$825,MATCH(ORDER!D92,BRAND!$G$5:$X$5,0)+1,0),"")</f>
        <v/>
      </c>
      <c r="J92" s="53">
        <f t="shared" ca="1" si="6"/>
        <v>0</v>
      </c>
      <c r="K92" s="53">
        <f t="shared" ca="1" si="7"/>
        <v>0</v>
      </c>
      <c r="L92" s="54" t="e">
        <f ca="1">J92*INDEX(MASTERDATA!$AA$3:$AA$302,MATCH(ORDER!A92,MASTERDATA!$L$3:$L$302,0))</f>
        <v>#N/A</v>
      </c>
      <c r="M92" s="55">
        <f ca="1">IFERROR(INDEX(MASTERDATA!$AC$3:$AC$302,MATCH(ORDER!A92,MASTERDATA!$L$3:$L$302,0))*I92,0)</f>
        <v>0</v>
      </c>
      <c r="N92" s="56"/>
      <c r="O92" s="115">
        <f t="shared" si="8"/>
        <v>0</v>
      </c>
      <c r="P92" s="57" t="e">
        <f>INDEX(MASTERDATA!$M$3:$M$302,MATCH(ORDER!A92,MASTERDATA!$L$3:$L$302,0))</f>
        <v>#N/A</v>
      </c>
      <c r="Q92" s="58" t="e">
        <f>INDEX(MASTERDATA!$N$3:$N$302,MATCH(ORDER!A92,MASTERDATA!$L$3:$L$302,0))</f>
        <v>#N/A</v>
      </c>
      <c r="R92" s="57" t="str">
        <f t="shared" si="9"/>
        <v/>
      </c>
      <c r="S92" s="59"/>
      <c r="T92" s="59"/>
      <c r="U92" s="57" t="e">
        <f>INDEX(MASTERDATA!$AA$3:$AA$302,MATCH(ORDER!A92,MASTERDATA!$L$3:$L$302,0))*S92</f>
        <v>#N/A</v>
      </c>
      <c r="V92" s="60">
        <f>IFERROR(INDEX(MASTERDATA!$AC$3:$AC$302,MATCH(ORDER!A92,MASTERDATA!$L$3:$L$302,0))*R92,0)</f>
        <v>0</v>
      </c>
      <c r="W92" s="112" t="str">
        <f ca="1">IF(ISNUMBER(I92),VLOOKUP(A92&amp;"DSI End Period",BRAND!$F$5:$X$815,MATCH(D92,BRAND!$G$5:$X$5)+1,0),"")</f>
        <v/>
      </c>
      <c r="X92" s="61"/>
      <c r="Y92" s="62">
        <f>MASTERDATA!R92</f>
        <v>0</v>
      </c>
      <c r="Z92" s="63" t="e">
        <f>INDEX(MASTERDATA!$S$3:$S$302,MATCH(ORDER!A92,MASTERDATA!$L$3:$L$302,0))</f>
        <v>#N/A</v>
      </c>
      <c r="AA92" s="63" t="e">
        <f>INDEX(MASTERDATA!$U$3:$U$302,MATCH(ORDER!A92,MASTERDATA!$L$3:$L$302,0))</f>
        <v>#N/A</v>
      </c>
      <c r="AB92" s="62" t="e">
        <f>INDEX(MASTERDATA!$H$3:$H$302,MATCH(ORDER!A92,MASTERDATA!$L$3:$L$302,0))</f>
        <v>#N/A</v>
      </c>
    </row>
    <row r="93" spans="1:39" ht="15.75" hidden="1" x14ac:dyDescent="0.3">
      <c r="A93" s="114">
        <f>IF(AND(NOT(MASTERDATA!I93="yes"),NOT(MASTERDATA!K93="yes")),MASTERDATA!L93,"")</f>
        <v>0</v>
      </c>
      <c r="B93" s="49" t="e">
        <f>INDEX(MASTERDATA!$V$3:$V$302,MATCH(ORDER!A93,MASTERDATA!$L$3:$L$302,0))</f>
        <v>#N/A</v>
      </c>
      <c r="C93" s="50" t="e">
        <f>INDEX(MASTERDATA!$W$3:$W$302,MATCH(ORDER!A93,MASTERDATA!$L$3:$L$302,0))</f>
        <v>#N/A</v>
      </c>
      <c r="D93" s="51">
        <f ca="1">DATE(YEAR(BRAND!$B$1),MONTH(BRAND!$B$1)+MASTERDATA!Q93,DAY(1))</f>
        <v>42979</v>
      </c>
      <c r="E93" s="52" t="e">
        <f>INDEX(MASTERDATA!$AF$3:$AF$302,MATCH(ORDER!A93,MASTERDATA!$L$3:$L$302,0))</f>
        <v>#N/A</v>
      </c>
      <c r="F93" s="52" t="e">
        <f>INDEX(MASTERDATA!$AH$3:$AH$302,MATCH(ORDER!A93,MASTERDATA!$L$3:$L$302,0))</f>
        <v>#N/A</v>
      </c>
      <c r="G93" s="76"/>
      <c r="H93" s="113">
        <f t="shared" si="5"/>
        <v>0</v>
      </c>
      <c r="I93" s="79" t="str">
        <f ca="1">IFERROR(VLOOKUP(A93&amp;"New PO-Net QTY",BRAND!$F$5:$X$825,MATCH(ORDER!D93,BRAND!$G$5:$X$5,0)+1,0),"")</f>
        <v/>
      </c>
      <c r="J93" s="53">
        <f t="shared" ca="1" si="6"/>
        <v>0</v>
      </c>
      <c r="K93" s="53">
        <f t="shared" ca="1" si="7"/>
        <v>0</v>
      </c>
      <c r="L93" s="54" t="e">
        <f ca="1">J93*INDEX(MASTERDATA!$AA$3:$AA$302,MATCH(ORDER!A93,MASTERDATA!$L$3:$L$302,0))</f>
        <v>#N/A</v>
      </c>
      <c r="M93" s="55">
        <f ca="1">IFERROR(INDEX(MASTERDATA!$AC$3:$AC$302,MATCH(ORDER!A93,MASTERDATA!$L$3:$L$302,0))*I93,0)</f>
        <v>0</v>
      </c>
      <c r="N93" s="56"/>
      <c r="O93" s="115">
        <f t="shared" si="8"/>
        <v>0</v>
      </c>
      <c r="P93" s="57" t="e">
        <f>INDEX(MASTERDATA!$M$3:$M$302,MATCH(ORDER!A93,MASTERDATA!$L$3:$L$302,0))</f>
        <v>#N/A</v>
      </c>
      <c r="Q93" s="58" t="e">
        <f>INDEX(MASTERDATA!$N$3:$N$302,MATCH(ORDER!A93,MASTERDATA!$L$3:$L$302,0))</f>
        <v>#N/A</v>
      </c>
      <c r="R93" s="57" t="str">
        <f t="shared" si="9"/>
        <v/>
      </c>
      <c r="S93" s="59"/>
      <c r="T93" s="59"/>
      <c r="U93" s="57" t="e">
        <f>INDEX(MASTERDATA!$AA$3:$AA$302,MATCH(ORDER!A93,MASTERDATA!$L$3:$L$302,0))*S93</f>
        <v>#N/A</v>
      </c>
      <c r="V93" s="60">
        <f>IFERROR(INDEX(MASTERDATA!$AC$3:$AC$302,MATCH(ORDER!A93,MASTERDATA!$L$3:$L$302,0))*R93,0)</f>
        <v>0</v>
      </c>
      <c r="W93" s="112" t="str">
        <f ca="1">IF(ISNUMBER(I93),VLOOKUP(A93&amp;"DSI End Period",BRAND!$F$5:$X$815,MATCH(D93,BRAND!$G$5:$X$5)+1,0),"")</f>
        <v/>
      </c>
      <c r="X93" s="61"/>
      <c r="Y93" s="62">
        <f>MASTERDATA!R93</f>
        <v>0</v>
      </c>
      <c r="Z93" s="63" t="e">
        <f>INDEX(MASTERDATA!$S$3:$S$302,MATCH(ORDER!A93,MASTERDATA!$L$3:$L$302,0))</f>
        <v>#N/A</v>
      </c>
      <c r="AA93" s="63" t="e">
        <f>INDEX(MASTERDATA!$U$3:$U$302,MATCH(ORDER!A93,MASTERDATA!$L$3:$L$302,0))</f>
        <v>#N/A</v>
      </c>
      <c r="AB93" s="62" t="e">
        <f>INDEX(MASTERDATA!$H$3:$H$302,MATCH(ORDER!A93,MASTERDATA!$L$3:$L$302,0))</f>
        <v>#N/A</v>
      </c>
      <c r="AC93" s="64"/>
      <c r="AD93" s="29"/>
      <c r="AE93" s="65"/>
      <c r="AF93" s="65"/>
      <c r="AG93" s="65"/>
      <c r="AH93" s="65"/>
      <c r="AI93" s="65"/>
      <c r="AJ93" s="65"/>
      <c r="AK93" s="65"/>
      <c r="AL93" s="65"/>
      <c r="AM93" s="65"/>
    </row>
    <row r="94" spans="1:39" ht="15.75" x14ac:dyDescent="0.3">
      <c r="A94" s="114">
        <f>IF(AND(NOT(MASTERDATA!I94="yes"),NOT(MASTERDATA!K94="yes")),MASTERDATA!L94,"")</f>
        <v>0</v>
      </c>
      <c r="B94" s="49" t="e">
        <f>INDEX(MASTERDATA!$V$3:$V$302,MATCH(ORDER!A94,MASTERDATA!$L$3:$L$302,0))</f>
        <v>#N/A</v>
      </c>
      <c r="C94" s="50" t="e">
        <f>INDEX(MASTERDATA!$W$3:$W$302,MATCH(ORDER!A94,MASTERDATA!$L$3:$L$302,0))</f>
        <v>#N/A</v>
      </c>
      <c r="D94" s="51">
        <f ca="1">DATE(YEAR(BRAND!$B$1),MONTH(BRAND!$B$1)+MASTERDATA!Q94,DAY(1))</f>
        <v>42979</v>
      </c>
      <c r="E94" s="52" t="e">
        <f>INDEX(MASTERDATA!$AF$3:$AF$302,MATCH(ORDER!A94,MASTERDATA!$L$3:$L$302,0))</f>
        <v>#N/A</v>
      </c>
      <c r="F94" s="52" t="e">
        <f>INDEX(MASTERDATA!$AH$3:$AH$302,MATCH(ORDER!A94,MASTERDATA!$L$3:$L$302,0))</f>
        <v>#N/A</v>
      </c>
      <c r="G94" s="76"/>
      <c r="H94" s="113">
        <f t="shared" si="5"/>
        <v>0</v>
      </c>
      <c r="I94" s="79" t="str">
        <f ca="1">IFERROR(VLOOKUP(A94&amp;"New PO-Net QTY",BRAND!$F$5:$X$825,MATCH(ORDER!D94,BRAND!$G$5:$X$5,0)+1,0),"")</f>
        <v/>
      </c>
      <c r="J94" s="53">
        <f t="shared" ca="1" si="6"/>
        <v>0</v>
      </c>
      <c r="K94" s="53">
        <f t="shared" ca="1" si="7"/>
        <v>0</v>
      </c>
      <c r="L94" s="54" t="e">
        <f ca="1">J94*INDEX(MASTERDATA!$AA$3:$AA$302,MATCH(ORDER!A94,MASTERDATA!$L$3:$L$302,0))</f>
        <v>#N/A</v>
      </c>
      <c r="M94" s="55">
        <f ca="1">IFERROR(INDEX(MASTERDATA!$AC$3:$AC$302,MATCH(ORDER!A94,MASTERDATA!$L$3:$L$302,0))*I94,0)</f>
        <v>0</v>
      </c>
      <c r="N94" s="56"/>
      <c r="O94" s="115">
        <f t="shared" si="8"/>
        <v>0</v>
      </c>
      <c r="P94" s="57" t="e">
        <f>INDEX(MASTERDATA!$M$3:$M$302,MATCH(ORDER!A94,MASTERDATA!$L$3:$L$302,0))</f>
        <v>#N/A</v>
      </c>
      <c r="Q94" s="58" t="e">
        <f>INDEX(MASTERDATA!$N$3:$N$302,MATCH(ORDER!A94,MASTERDATA!$L$3:$L$302,0))</f>
        <v>#N/A</v>
      </c>
      <c r="R94" s="57" t="str">
        <f t="shared" si="9"/>
        <v/>
      </c>
      <c r="S94" s="59"/>
      <c r="T94" s="59"/>
      <c r="U94" s="57" t="e">
        <f>INDEX(MASTERDATA!$AA$3:$AA$302,MATCH(ORDER!A94,MASTERDATA!$L$3:$L$302,0))*S94</f>
        <v>#N/A</v>
      </c>
      <c r="V94" s="60">
        <f>IFERROR(INDEX(MASTERDATA!$AC$3:$AC$302,MATCH(ORDER!A94,MASTERDATA!$L$3:$L$302,0))*R94,0)</f>
        <v>0</v>
      </c>
      <c r="W94" s="112" t="str">
        <f ca="1">IF(ISNUMBER(I94),VLOOKUP(A94&amp;"DSI End Period",BRAND!$F$5:$X$815,MATCH(D94,BRAND!$G$5:$X$5)+1,0),"")</f>
        <v/>
      </c>
      <c r="X94" s="61"/>
      <c r="Y94" s="62">
        <f>MASTERDATA!R94</f>
        <v>0</v>
      </c>
      <c r="Z94" s="63" t="e">
        <f>INDEX(MASTERDATA!$S$3:$S$302,MATCH(ORDER!A94,MASTERDATA!$L$3:$L$302,0))</f>
        <v>#N/A</v>
      </c>
      <c r="AA94" s="63" t="e">
        <f>INDEX(MASTERDATA!$U$3:$U$302,MATCH(ORDER!A94,MASTERDATA!$L$3:$L$302,0))</f>
        <v>#N/A</v>
      </c>
      <c r="AB94" s="62" t="e">
        <f>INDEX(MASTERDATA!$H$3:$H$302,MATCH(ORDER!A94,MASTERDATA!$L$3:$L$302,0))</f>
        <v>#N/A</v>
      </c>
    </row>
    <row r="95" spans="1:39" ht="15.75" x14ac:dyDescent="0.3">
      <c r="A95" s="114">
        <f>IF(AND(NOT(MASTERDATA!I95="yes"),NOT(MASTERDATA!K95="yes")),MASTERDATA!L95,"")</f>
        <v>0</v>
      </c>
      <c r="B95" s="49" t="e">
        <f>INDEX(MASTERDATA!$V$3:$V$302,MATCH(ORDER!A95,MASTERDATA!$L$3:$L$302,0))</f>
        <v>#N/A</v>
      </c>
      <c r="C95" s="50" t="e">
        <f>INDEX(MASTERDATA!$W$3:$W$302,MATCH(ORDER!A95,MASTERDATA!$L$3:$L$302,0))</f>
        <v>#N/A</v>
      </c>
      <c r="D95" s="51">
        <f ca="1">DATE(YEAR(BRAND!$B$1),MONTH(BRAND!$B$1)+MASTERDATA!Q95,DAY(1))</f>
        <v>42979</v>
      </c>
      <c r="E95" s="52" t="e">
        <f>INDEX(MASTERDATA!$AF$3:$AF$302,MATCH(ORDER!A95,MASTERDATA!$L$3:$L$302,0))</f>
        <v>#N/A</v>
      </c>
      <c r="F95" s="52" t="e">
        <f>INDEX(MASTERDATA!$AH$3:$AH$302,MATCH(ORDER!A95,MASTERDATA!$L$3:$L$302,0))</f>
        <v>#N/A</v>
      </c>
      <c r="G95" s="76"/>
      <c r="H95" s="113">
        <f t="shared" si="5"/>
        <v>0</v>
      </c>
      <c r="I95" s="79" t="str">
        <f ca="1">IFERROR(VLOOKUP(A95&amp;"New PO-Net QTY",BRAND!$F$5:$X$825,MATCH(ORDER!D95,BRAND!$G$5:$X$5,0)+1,0),"")</f>
        <v/>
      </c>
      <c r="J95" s="53">
        <f t="shared" ca="1" si="6"/>
        <v>0</v>
      </c>
      <c r="K95" s="53">
        <f t="shared" ca="1" si="7"/>
        <v>0</v>
      </c>
      <c r="L95" s="54" t="e">
        <f ca="1">J95*INDEX(MASTERDATA!$AA$3:$AA$302,MATCH(ORDER!A95,MASTERDATA!$L$3:$L$302,0))</f>
        <v>#N/A</v>
      </c>
      <c r="M95" s="55">
        <f ca="1">IFERROR(INDEX(MASTERDATA!$AC$3:$AC$302,MATCH(ORDER!A95,MASTERDATA!$L$3:$L$302,0))*I95,0)</f>
        <v>0</v>
      </c>
      <c r="N95" s="56"/>
      <c r="O95" s="115">
        <f t="shared" si="8"/>
        <v>0</v>
      </c>
      <c r="P95" s="57" t="e">
        <f>INDEX(MASTERDATA!$M$3:$M$302,MATCH(ORDER!A95,MASTERDATA!$L$3:$L$302,0))</f>
        <v>#N/A</v>
      </c>
      <c r="Q95" s="58" t="e">
        <f>INDEX(MASTERDATA!$N$3:$N$302,MATCH(ORDER!A95,MASTERDATA!$L$3:$L$302,0))</f>
        <v>#N/A</v>
      </c>
      <c r="R95" s="57" t="str">
        <f t="shared" si="9"/>
        <v/>
      </c>
      <c r="S95" s="59"/>
      <c r="T95" s="59"/>
      <c r="U95" s="57" t="e">
        <f>INDEX(MASTERDATA!$AA$3:$AA$302,MATCH(ORDER!A95,MASTERDATA!$L$3:$L$302,0))*S95</f>
        <v>#N/A</v>
      </c>
      <c r="V95" s="60">
        <f>IFERROR(INDEX(MASTERDATA!$AC$3:$AC$302,MATCH(ORDER!A95,MASTERDATA!$L$3:$L$302,0))*R95,0)</f>
        <v>0</v>
      </c>
      <c r="W95" s="112" t="str">
        <f ca="1">IF(ISNUMBER(I95),VLOOKUP(A95&amp;"DSI End Period",BRAND!$F$5:$X$815,MATCH(D95,BRAND!$G$5:$X$5)+1,0),"")</f>
        <v/>
      </c>
      <c r="X95" s="61"/>
      <c r="Y95" s="62">
        <f>MASTERDATA!R95</f>
        <v>0</v>
      </c>
      <c r="Z95" s="63" t="e">
        <f>INDEX(MASTERDATA!$S$3:$S$302,MATCH(ORDER!A95,MASTERDATA!$L$3:$L$302,0))</f>
        <v>#N/A</v>
      </c>
      <c r="AA95" s="63" t="e">
        <f>INDEX(MASTERDATA!$U$3:$U$302,MATCH(ORDER!A95,MASTERDATA!$L$3:$L$302,0))</f>
        <v>#N/A</v>
      </c>
      <c r="AB95" s="62" t="e">
        <f>INDEX(MASTERDATA!$H$3:$H$302,MATCH(ORDER!A95,MASTERDATA!$L$3:$L$302,0))</f>
        <v>#N/A</v>
      </c>
    </row>
    <row r="96" spans="1:39" ht="15.75" x14ac:dyDescent="0.3">
      <c r="A96" s="114">
        <f>IF(AND(NOT(MASTERDATA!I96="yes"),NOT(MASTERDATA!K96="yes")),MASTERDATA!L96,"")</f>
        <v>0</v>
      </c>
      <c r="B96" s="49" t="e">
        <f>INDEX(MASTERDATA!$V$3:$V$302,MATCH(ORDER!A96,MASTERDATA!$L$3:$L$302,0))</f>
        <v>#N/A</v>
      </c>
      <c r="C96" s="50" t="e">
        <f>INDEX(MASTERDATA!$W$3:$W$302,MATCH(ORDER!A96,MASTERDATA!$L$3:$L$302,0))</f>
        <v>#N/A</v>
      </c>
      <c r="D96" s="51">
        <f ca="1">DATE(YEAR(BRAND!$B$1),MONTH(BRAND!$B$1)+MASTERDATA!Q96,DAY(1))</f>
        <v>42979</v>
      </c>
      <c r="E96" s="52" t="e">
        <f>INDEX(MASTERDATA!$AF$3:$AF$302,MATCH(ORDER!A96,MASTERDATA!$L$3:$L$302,0))</f>
        <v>#N/A</v>
      </c>
      <c r="F96" s="52" t="e">
        <f>INDEX(MASTERDATA!$AH$3:$AH$302,MATCH(ORDER!A96,MASTERDATA!$L$3:$L$302,0))</f>
        <v>#N/A</v>
      </c>
      <c r="G96" s="76"/>
      <c r="H96" s="113">
        <f t="shared" si="5"/>
        <v>0</v>
      </c>
      <c r="I96" s="79" t="str">
        <f ca="1">IFERROR(VLOOKUP(A96&amp;"New PO-Net QTY",BRAND!$F$5:$X$825,MATCH(ORDER!D96,BRAND!$G$5:$X$5,0)+1,0),"")</f>
        <v/>
      </c>
      <c r="J96" s="53">
        <f t="shared" ca="1" si="6"/>
        <v>0</v>
      </c>
      <c r="K96" s="53">
        <f t="shared" ca="1" si="7"/>
        <v>0</v>
      </c>
      <c r="L96" s="54" t="e">
        <f ca="1">J96*INDEX(MASTERDATA!$AA$3:$AA$302,MATCH(ORDER!A96,MASTERDATA!$L$3:$L$302,0))</f>
        <v>#N/A</v>
      </c>
      <c r="M96" s="55">
        <f ca="1">IFERROR(INDEX(MASTERDATA!$AC$3:$AC$302,MATCH(ORDER!A96,MASTERDATA!$L$3:$L$302,0))*I96,0)</f>
        <v>0</v>
      </c>
      <c r="N96" s="56"/>
      <c r="O96" s="115">
        <f t="shared" si="8"/>
        <v>0</v>
      </c>
      <c r="P96" s="57" t="e">
        <f>INDEX(MASTERDATA!$M$3:$M$302,MATCH(ORDER!A96,MASTERDATA!$L$3:$L$302,0))</f>
        <v>#N/A</v>
      </c>
      <c r="Q96" s="58" t="e">
        <f>INDEX(MASTERDATA!$N$3:$N$302,MATCH(ORDER!A96,MASTERDATA!$L$3:$L$302,0))</f>
        <v>#N/A</v>
      </c>
      <c r="R96" s="57" t="str">
        <f t="shared" si="9"/>
        <v/>
      </c>
      <c r="S96" s="59"/>
      <c r="T96" s="59"/>
      <c r="U96" s="57" t="e">
        <f>INDEX(MASTERDATA!$AA$3:$AA$302,MATCH(ORDER!A96,MASTERDATA!$L$3:$L$302,0))*S96</f>
        <v>#N/A</v>
      </c>
      <c r="V96" s="60">
        <f>IFERROR(INDEX(MASTERDATA!$AC$3:$AC$302,MATCH(ORDER!A96,MASTERDATA!$L$3:$L$302,0))*R96,0)</f>
        <v>0</v>
      </c>
      <c r="W96" s="112" t="str">
        <f ca="1">IF(ISNUMBER(I96),VLOOKUP(A96&amp;"DSI End Period",BRAND!$F$5:$X$815,MATCH(D96,BRAND!$G$5:$X$5)+1,0),"")</f>
        <v/>
      </c>
      <c r="X96" s="61"/>
      <c r="Y96" s="62">
        <f>MASTERDATA!R96</f>
        <v>0</v>
      </c>
      <c r="Z96" s="63" t="e">
        <f>INDEX(MASTERDATA!$S$3:$S$302,MATCH(ORDER!A96,MASTERDATA!$L$3:$L$302,0))</f>
        <v>#N/A</v>
      </c>
      <c r="AA96" s="63" t="e">
        <f>INDEX(MASTERDATA!$U$3:$U$302,MATCH(ORDER!A96,MASTERDATA!$L$3:$L$302,0))</f>
        <v>#N/A</v>
      </c>
      <c r="AB96" s="62" t="e">
        <f>INDEX(MASTERDATA!$H$3:$H$302,MATCH(ORDER!A96,MASTERDATA!$L$3:$L$302,0))</f>
        <v>#N/A</v>
      </c>
    </row>
    <row r="97" spans="1:39" ht="15.75" hidden="1" x14ac:dyDescent="0.3">
      <c r="A97" s="114">
        <f>IF(AND(NOT(MASTERDATA!I97="yes"),NOT(MASTERDATA!K97="yes")),MASTERDATA!L97,"")</f>
        <v>0</v>
      </c>
      <c r="B97" s="49" t="e">
        <f>INDEX(MASTERDATA!$V$3:$V$302,MATCH(ORDER!A97,MASTERDATA!$L$3:$L$302,0))</f>
        <v>#N/A</v>
      </c>
      <c r="C97" s="50" t="e">
        <f>INDEX(MASTERDATA!$W$3:$W$302,MATCH(ORDER!A97,MASTERDATA!$L$3:$L$302,0))</f>
        <v>#N/A</v>
      </c>
      <c r="D97" s="51">
        <f ca="1">DATE(YEAR(BRAND!$B$1),MONTH(BRAND!$B$1)+MASTERDATA!Q97,DAY(1))</f>
        <v>42979</v>
      </c>
      <c r="E97" s="52" t="e">
        <f>INDEX(MASTERDATA!$AF$3:$AF$302,MATCH(ORDER!A97,MASTERDATA!$L$3:$L$302,0))</f>
        <v>#N/A</v>
      </c>
      <c r="F97" s="52" t="e">
        <f>INDEX(MASTERDATA!$AH$3:$AH$302,MATCH(ORDER!A97,MASTERDATA!$L$3:$L$302,0))</f>
        <v>#N/A</v>
      </c>
      <c r="G97" s="76"/>
      <c r="H97" s="113">
        <f t="shared" ref="H97:H104" si="10">A97</f>
        <v>0</v>
      </c>
      <c r="I97" s="79" t="str">
        <f ca="1">IFERROR(VLOOKUP(A97&amp;"New PO-Net QTY",BRAND!$F$5:$X$825,MATCH(ORDER!D97,BRAND!$G$5:$X$5,0)+1,0),"")</f>
        <v/>
      </c>
      <c r="J97" s="53">
        <f t="shared" ref="J97:J104" ca="1" si="11">IFERROR(I97/B97,0)</f>
        <v>0</v>
      </c>
      <c r="K97" s="53">
        <f t="shared" ref="K97:K104" ca="1" si="12">IFERROR(I97/B97/C97,0)</f>
        <v>0</v>
      </c>
      <c r="L97" s="54" t="e">
        <f ca="1">J97*INDEX(MASTERDATA!$AA$3:$AA$302,MATCH(ORDER!A97,MASTERDATA!$L$3:$L$302,0))</f>
        <v>#N/A</v>
      </c>
      <c r="M97" s="55">
        <f ca="1">IFERROR(INDEX(MASTERDATA!$AC$3:$AC$302,MATCH(ORDER!A97,MASTERDATA!$L$3:$L$302,0))*I97,0)</f>
        <v>0</v>
      </c>
      <c r="N97" s="56"/>
      <c r="O97" s="115">
        <f t="shared" ref="O97:O104" si="13">A97</f>
        <v>0</v>
      </c>
      <c r="P97" s="57" t="e">
        <f>INDEX(MASTERDATA!$M$3:$M$302,MATCH(ORDER!A97,MASTERDATA!$L$3:$L$302,0))</f>
        <v>#N/A</v>
      </c>
      <c r="Q97" s="58" t="e">
        <f>INDEX(MASTERDATA!$N$3:$N$302,MATCH(ORDER!A97,MASTERDATA!$L$3:$L$302,0))</f>
        <v>#N/A</v>
      </c>
      <c r="R97" s="57" t="str">
        <f t="shared" ref="R97:R104" si="14">IF(ISNUMBER(S97),S97*B97,IF(ISNUMBER(T97),T97*C97*B97,""))</f>
        <v/>
      </c>
      <c r="S97" s="59"/>
      <c r="T97" s="59"/>
      <c r="U97" s="57" t="e">
        <f>INDEX(MASTERDATA!$AA$3:$AA$302,MATCH(ORDER!A97,MASTERDATA!$L$3:$L$302,0))*S97</f>
        <v>#N/A</v>
      </c>
      <c r="V97" s="60">
        <f>IFERROR(INDEX(MASTERDATA!$AC$3:$AC$302,MATCH(ORDER!A97,MASTERDATA!$L$3:$L$302,0))*R97,0)</f>
        <v>0</v>
      </c>
      <c r="W97" s="112" t="str">
        <f ca="1">IF(ISNUMBER(I97),VLOOKUP(A97&amp;"DSI End Period",BRAND!$F$5:$X$815,MATCH(D97,BRAND!$G$5:$X$5)+1,0),"")</f>
        <v/>
      </c>
      <c r="X97" s="61"/>
      <c r="Y97" s="62">
        <f>MASTERDATA!R97</f>
        <v>0</v>
      </c>
      <c r="Z97" s="63" t="e">
        <f>INDEX(MASTERDATA!$S$3:$S$302,MATCH(ORDER!A97,MASTERDATA!$L$3:$L$302,0))</f>
        <v>#N/A</v>
      </c>
      <c r="AA97" s="63" t="e">
        <f>INDEX(MASTERDATA!$U$3:$U$302,MATCH(ORDER!A97,MASTERDATA!$L$3:$L$302,0))</f>
        <v>#N/A</v>
      </c>
      <c r="AB97" s="62" t="e">
        <f>INDEX(MASTERDATA!$H$3:$H$302,MATCH(ORDER!A97,MASTERDATA!$L$3:$L$302,0))</f>
        <v>#N/A</v>
      </c>
      <c r="AC97" s="64"/>
      <c r="AD97" s="29"/>
      <c r="AE97" s="65"/>
      <c r="AF97" s="65"/>
      <c r="AG97" s="65"/>
      <c r="AH97" s="65"/>
      <c r="AI97" s="65"/>
      <c r="AJ97" s="65"/>
      <c r="AK97" s="65"/>
      <c r="AL97" s="65"/>
      <c r="AM97" s="65"/>
    </row>
    <row r="98" spans="1:39" ht="15.75" hidden="1" x14ac:dyDescent="0.3">
      <c r="A98" s="114">
        <f>IF(AND(NOT(MASTERDATA!I98="yes"),NOT(MASTERDATA!K98="yes")),MASTERDATA!L98,"")</f>
        <v>0</v>
      </c>
      <c r="B98" s="49" t="e">
        <f>INDEX(MASTERDATA!$V$3:$V$302,MATCH(ORDER!A98,MASTERDATA!$L$3:$L$302,0))</f>
        <v>#N/A</v>
      </c>
      <c r="C98" s="50" t="e">
        <f>INDEX(MASTERDATA!$W$3:$W$302,MATCH(ORDER!A98,MASTERDATA!$L$3:$L$302,0))</f>
        <v>#N/A</v>
      </c>
      <c r="D98" s="51">
        <f ca="1">DATE(YEAR(BRAND!$B$1),MONTH(BRAND!$B$1)+MASTERDATA!Q98,DAY(1))</f>
        <v>42979</v>
      </c>
      <c r="E98" s="52" t="e">
        <f>INDEX(MASTERDATA!$AF$3:$AF$302,MATCH(ORDER!A98,MASTERDATA!$L$3:$L$302,0))</f>
        <v>#N/A</v>
      </c>
      <c r="F98" s="52" t="e">
        <f>INDEX(MASTERDATA!$AH$3:$AH$302,MATCH(ORDER!A98,MASTERDATA!$L$3:$L$302,0))</f>
        <v>#N/A</v>
      </c>
      <c r="G98" s="76"/>
      <c r="H98" s="113">
        <f t="shared" si="10"/>
        <v>0</v>
      </c>
      <c r="I98" s="79" t="str">
        <f ca="1">IFERROR(VLOOKUP(A98&amp;"New PO-Net QTY",BRAND!$F$5:$X$825,MATCH(ORDER!D98,BRAND!$G$5:$X$5,0)+1,0),"")</f>
        <v/>
      </c>
      <c r="J98" s="53">
        <f t="shared" ca="1" si="11"/>
        <v>0</v>
      </c>
      <c r="K98" s="53">
        <f t="shared" ca="1" si="12"/>
        <v>0</v>
      </c>
      <c r="L98" s="54" t="e">
        <f ca="1">J98*INDEX(MASTERDATA!$AA$3:$AA$302,MATCH(ORDER!A98,MASTERDATA!$L$3:$L$302,0))</f>
        <v>#N/A</v>
      </c>
      <c r="M98" s="55">
        <f ca="1">IFERROR(INDEX(MASTERDATA!$AC$3:$AC$302,MATCH(ORDER!A98,MASTERDATA!$L$3:$L$302,0))*I98,0)</f>
        <v>0</v>
      </c>
      <c r="N98" s="56"/>
      <c r="O98" s="115">
        <f t="shared" si="13"/>
        <v>0</v>
      </c>
      <c r="P98" s="57" t="e">
        <f>INDEX(MASTERDATA!$M$3:$M$302,MATCH(ORDER!A98,MASTERDATA!$L$3:$L$302,0))</f>
        <v>#N/A</v>
      </c>
      <c r="Q98" s="58" t="e">
        <f>INDEX(MASTERDATA!$N$3:$N$302,MATCH(ORDER!A98,MASTERDATA!$L$3:$L$302,0))</f>
        <v>#N/A</v>
      </c>
      <c r="R98" s="57" t="str">
        <f t="shared" si="14"/>
        <v/>
      </c>
      <c r="S98" s="59"/>
      <c r="T98" s="59"/>
      <c r="U98" s="57" t="e">
        <f>INDEX(MASTERDATA!$AA$3:$AA$302,MATCH(ORDER!A98,MASTERDATA!$L$3:$L$302,0))*S98</f>
        <v>#N/A</v>
      </c>
      <c r="V98" s="60">
        <f>IFERROR(INDEX(MASTERDATA!$AC$3:$AC$302,MATCH(ORDER!A98,MASTERDATA!$L$3:$L$302,0))*R98,0)</f>
        <v>0</v>
      </c>
      <c r="W98" s="112" t="str">
        <f ca="1">IF(ISNUMBER(I98),VLOOKUP(A98&amp;"DSI End Period",BRAND!$F$5:$X$815,MATCH(D98,BRAND!$G$5:$X$5)+1,0),"")</f>
        <v/>
      </c>
      <c r="X98" s="61"/>
      <c r="Y98" s="62">
        <f>MASTERDATA!R98</f>
        <v>0</v>
      </c>
      <c r="Z98" s="63" t="e">
        <f>INDEX(MASTERDATA!$S$3:$S$302,MATCH(ORDER!A98,MASTERDATA!$L$3:$L$302,0))</f>
        <v>#N/A</v>
      </c>
      <c r="AA98" s="63" t="e">
        <f>INDEX(MASTERDATA!$U$3:$U$302,MATCH(ORDER!A98,MASTERDATA!$L$3:$L$302,0))</f>
        <v>#N/A</v>
      </c>
      <c r="AB98" s="62" t="e">
        <f>INDEX(MASTERDATA!$H$3:$H$302,MATCH(ORDER!A98,MASTERDATA!$L$3:$L$302,0))</f>
        <v>#N/A</v>
      </c>
      <c r="AC98" s="64"/>
      <c r="AD98" s="29"/>
      <c r="AE98" s="65"/>
      <c r="AF98" s="65"/>
      <c r="AG98" s="65"/>
      <c r="AH98" s="65"/>
      <c r="AI98" s="65"/>
      <c r="AJ98" s="65"/>
      <c r="AK98" s="65"/>
      <c r="AL98" s="65"/>
      <c r="AM98" s="65"/>
    </row>
    <row r="99" spans="1:39" ht="15.75" hidden="1" x14ac:dyDescent="0.3">
      <c r="A99" s="114">
        <f>IF(AND(NOT(MASTERDATA!I99="yes"),NOT(MASTERDATA!K99="yes")),MASTERDATA!L99,"")</f>
        <v>0</v>
      </c>
      <c r="B99" s="49" t="e">
        <f>INDEX(MASTERDATA!$V$3:$V$302,MATCH(ORDER!A99,MASTERDATA!$L$3:$L$302,0))</f>
        <v>#N/A</v>
      </c>
      <c r="C99" s="50" t="e">
        <f>INDEX(MASTERDATA!$W$3:$W$302,MATCH(ORDER!A99,MASTERDATA!$L$3:$L$302,0))</f>
        <v>#N/A</v>
      </c>
      <c r="D99" s="51">
        <f ca="1">DATE(YEAR(BRAND!$B$1),MONTH(BRAND!$B$1)+MASTERDATA!Q99,DAY(1))</f>
        <v>42979</v>
      </c>
      <c r="E99" s="52" t="e">
        <f>INDEX(MASTERDATA!$AF$3:$AF$302,MATCH(ORDER!A99,MASTERDATA!$L$3:$L$302,0))</f>
        <v>#N/A</v>
      </c>
      <c r="F99" s="52" t="e">
        <f>INDEX(MASTERDATA!$AH$3:$AH$302,MATCH(ORDER!A99,MASTERDATA!$L$3:$L$302,0))</f>
        <v>#N/A</v>
      </c>
      <c r="G99" s="76"/>
      <c r="H99" s="113">
        <f t="shared" si="10"/>
        <v>0</v>
      </c>
      <c r="I99" s="79" t="str">
        <f ca="1">IFERROR(VLOOKUP(A99&amp;"New PO-Net QTY",BRAND!$F$5:$X$825,MATCH(ORDER!D99,BRAND!$G$5:$X$5,0)+1,0),"")</f>
        <v/>
      </c>
      <c r="J99" s="53">
        <f t="shared" ca="1" si="11"/>
        <v>0</v>
      </c>
      <c r="K99" s="53">
        <f t="shared" ca="1" si="12"/>
        <v>0</v>
      </c>
      <c r="L99" s="54" t="e">
        <f ca="1">J99*INDEX(MASTERDATA!$AA$3:$AA$302,MATCH(ORDER!A99,MASTERDATA!$L$3:$L$302,0))</f>
        <v>#N/A</v>
      </c>
      <c r="M99" s="55">
        <f ca="1">IFERROR(INDEX(MASTERDATA!$AC$3:$AC$302,MATCH(ORDER!A99,MASTERDATA!$L$3:$L$302,0))*I99,0)</f>
        <v>0</v>
      </c>
      <c r="N99" s="56"/>
      <c r="O99" s="115">
        <f t="shared" si="13"/>
        <v>0</v>
      </c>
      <c r="P99" s="57" t="e">
        <f>INDEX(MASTERDATA!$M$3:$M$302,MATCH(ORDER!A99,MASTERDATA!$L$3:$L$302,0))</f>
        <v>#N/A</v>
      </c>
      <c r="Q99" s="58" t="e">
        <f>INDEX(MASTERDATA!$N$3:$N$302,MATCH(ORDER!A99,MASTERDATA!$L$3:$L$302,0))</f>
        <v>#N/A</v>
      </c>
      <c r="R99" s="57" t="str">
        <f t="shared" si="14"/>
        <v/>
      </c>
      <c r="S99" s="59"/>
      <c r="T99" s="59"/>
      <c r="U99" s="57" t="e">
        <f>INDEX(MASTERDATA!$AA$3:$AA$302,MATCH(ORDER!A99,MASTERDATA!$L$3:$L$302,0))*S99</f>
        <v>#N/A</v>
      </c>
      <c r="V99" s="60">
        <f>IFERROR(INDEX(MASTERDATA!$AC$3:$AC$302,MATCH(ORDER!A99,MASTERDATA!$L$3:$L$302,0))*R99,0)</f>
        <v>0</v>
      </c>
      <c r="W99" s="112" t="str">
        <f ca="1">IF(ISNUMBER(I99),VLOOKUP(A99&amp;"DSI End Period",BRAND!$F$5:$X$815,MATCH(D99,BRAND!$G$5:$X$5)+1,0),"")</f>
        <v/>
      </c>
      <c r="X99" s="61"/>
      <c r="Y99" s="62">
        <f>MASTERDATA!R99</f>
        <v>0</v>
      </c>
      <c r="Z99" s="63" t="e">
        <f>INDEX(MASTERDATA!$S$3:$S$302,MATCH(ORDER!A99,MASTERDATA!$L$3:$L$302,0))</f>
        <v>#N/A</v>
      </c>
      <c r="AA99" s="63" t="e">
        <f>INDEX(MASTERDATA!$U$3:$U$302,MATCH(ORDER!A99,MASTERDATA!$L$3:$L$302,0))</f>
        <v>#N/A</v>
      </c>
      <c r="AB99" s="62" t="e">
        <f>INDEX(MASTERDATA!$H$3:$H$302,MATCH(ORDER!A99,MASTERDATA!$L$3:$L$302,0))</f>
        <v>#N/A</v>
      </c>
      <c r="AC99" s="64"/>
      <c r="AD99" s="29"/>
      <c r="AE99" s="65"/>
      <c r="AF99" s="65"/>
      <c r="AG99" s="65"/>
      <c r="AH99" s="65"/>
      <c r="AI99" s="65"/>
      <c r="AJ99" s="65"/>
      <c r="AK99" s="65"/>
      <c r="AL99" s="65"/>
      <c r="AM99" s="65"/>
    </row>
    <row r="100" spans="1:39" ht="15.75" hidden="1" x14ac:dyDescent="0.3">
      <c r="A100" s="114">
        <f>IF(AND(NOT(MASTERDATA!I100="yes"),NOT(MASTERDATA!K100="yes")),MASTERDATA!L100,"")</f>
        <v>0</v>
      </c>
      <c r="B100" s="49" t="e">
        <f>INDEX(MASTERDATA!$V$3:$V$302,MATCH(ORDER!A100,MASTERDATA!$L$3:$L$302,0))</f>
        <v>#N/A</v>
      </c>
      <c r="C100" s="50" t="e">
        <f>INDEX(MASTERDATA!$W$3:$W$302,MATCH(ORDER!A100,MASTERDATA!$L$3:$L$302,0))</f>
        <v>#N/A</v>
      </c>
      <c r="D100" s="51">
        <f ca="1">DATE(YEAR(BRAND!$B$1),MONTH(BRAND!$B$1)+MASTERDATA!Q100,DAY(1))</f>
        <v>42979</v>
      </c>
      <c r="E100" s="52" t="e">
        <f>INDEX(MASTERDATA!$AF$3:$AF$302,MATCH(ORDER!A100,MASTERDATA!$L$3:$L$302,0))</f>
        <v>#N/A</v>
      </c>
      <c r="F100" s="52" t="e">
        <f>INDEX(MASTERDATA!$AH$3:$AH$302,MATCH(ORDER!A100,MASTERDATA!$L$3:$L$302,0))</f>
        <v>#N/A</v>
      </c>
      <c r="G100" s="76"/>
      <c r="H100" s="113">
        <f t="shared" si="10"/>
        <v>0</v>
      </c>
      <c r="I100" s="79" t="str">
        <f ca="1">IFERROR(VLOOKUP(A100&amp;"New PO-Net QTY",BRAND!$F$5:$X$825,MATCH(ORDER!D100,BRAND!$G$5:$X$5,0)+1,0),"")</f>
        <v/>
      </c>
      <c r="J100" s="53">
        <f t="shared" ca="1" si="11"/>
        <v>0</v>
      </c>
      <c r="K100" s="53">
        <f t="shared" ca="1" si="12"/>
        <v>0</v>
      </c>
      <c r="L100" s="54" t="e">
        <f ca="1">J100*INDEX(MASTERDATA!$AA$3:$AA$302,MATCH(ORDER!A100,MASTERDATA!$L$3:$L$302,0))</f>
        <v>#N/A</v>
      </c>
      <c r="M100" s="55">
        <f ca="1">IFERROR(INDEX(MASTERDATA!$AC$3:$AC$302,MATCH(ORDER!A100,MASTERDATA!$L$3:$L$302,0))*I100,0)</f>
        <v>0</v>
      </c>
      <c r="N100" s="56"/>
      <c r="O100" s="115">
        <f t="shared" si="13"/>
        <v>0</v>
      </c>
      <c r="P100" s="57" t="e">
        <f>INDEX(MASTERDATA!$M$3:$M$302,MATCH(ORDER!A100,MASTERDATA!$L$3:$L$302,0))</f>
        <v>#N/A</v>
      </c>
      <c r="Q100" s="58" t="e">
        <f>INDEX(MASTERDATA!$N$3:$N$302,MATCH(ORDER!A100,MASTERDATA!$L$3:$L$302,0))</f>
        <v>#N/A</v>
      </c>
      <c r="R100" s="57" t="str">
        <f t="shared" si="14"/>
        <v/>
      </c>
      <c r="S100" s="59"/>
      <c r="T100" s="59"/>
      <c r="U100" s="57" t="e">
        <f>INDEX(MASTERDATA!$AA$3:$AA$302,MATCH(ORDER!A100,MASTERDATA!$L$3:$L$302,0))*S100</f>
        <v>#N/A</v>
      </c>
      <c r="V100" s="60">
        <f>IFERROR(INDEX(MASTERDATA!$AC$3:$AC$302,MATCH(ORDER!A100,MASTERDATA!$L$3:$L$302,0))*R100,0)</f>
        <v>0</v>
      </c>
      <c r="W100" s="112" t="str">
        <f ca="1">IF(ISNUMBER(I100),VLOOKUP(A100&amp;"DSI End Period",BRAND!$F$5:$X$815,MATCH(D100,BRAND!$G$5:$X$5)+1,0),"")</f>
        <v/>
      </c>
      <c r="X100" s="61"/>
      <c r="Y100" s="62">
        <f>MASTERDATA!R100</f>
        <v>0</v>
      </c>
      <c r="Z100" s="63" t="e">
        <f>INDEX(MASTERDATA!$S$3:$S$302,MATCH(ORDER!A100,MASTERDATA!$L$3:$L$302,0))</f>
        <v>#N/A</v>
      </c>
      <c r="AA100" s="63" t="e">
        <f>INDEX(MASTERDATA!$U$3:$U$302,MATCH(ORDER!A100,MASTERDATA!$L$3:$L$302,0))</f>
        <v>#N/A</v>
      </c>
      <c r="AB100" s="62" t="e">
        <f>INDEX(MASTERDATA!$H$3:$H$302,MATCH(ORDER!A100,MASTERDATA!$L$3:$L$302,0))</f>
        <v>#N/A</v>
      </c>
      <c r="AC100" s="64"/>
      <c r="AD100" s="29"/>
      <c r="AE100" s="65"/>
      <c r="AF100" s="65"/>
      <c r="AG100" s="65"/>
      <c r="AH100" s="65"/>
      <c r="AI100" s="65"/>
      <c r="AJ100" s="65"/>
      <c r="AK100" s="65"/>
      <c r="AL100" s="65"/>
      <c r="AM100" s="65"/>
    </row>
    <row r="101" spans="1:39" ht="15.75" x14ac:dyDescent="0.3">
      <c r="A101" s="114">
        <f>IF(AND(NOT(MASTERDATA!I101="yes"),NOT(MASTERDATA!K101="yes")),MASTERDATA!L101,"")</f>
        <v>0</v>
      </c>
      <c r="B101" s="49" t="e">
        <f>INDEX(MASTERDATA!$V$3:$V$302,MATCH(ORDER!A101,MASTERDATA!$L$3:$L$302,0))</f>
        <v>#N/A</v>
      </c>
      <c r="C101" s="50" t="e">
        <f>INDEX(MASTERDATA!$W$3:$W$302,MATCH(ORDER!A101,MASTERDATA!$L$3:$L$302,0))</f>
        <v>#N/A</v>
      </c>
      <c r="D101" s="51">
        <f ca="1">DATE(YEAR(BRAND!$B$1),MONTH(BRAND!$B$1)+MASTERDATA!Q101,DAY(1))</f>
        <v>42979</v>
      </c>
      <c r="E101" s="52" t="e">
        <f>INDEX(MASTERDATA!$AF$3:$AF$302,MATCH(ORDER!A101,MASTERDATA!$L$3:$L$302,0))</f>
        <v>#N/A</v>
      </c>
      <c r="F101" s="52" t="e">
        <f>INDEX(MASTERDATA!$AH$3:$AH$302,MATCH(ORDER!A101,MASTERDATA!$L$3:$L$302,0))</f>
        <v>#N/A</v>
      </c>
      <c r="G101" s="76"/>
      <c r="H101" s="113">
        <f t="shared" si="10"/>
        <v>0</v>
      </c>
      <c r="I101" s="79" t="str">
        <f ca="1">IFERROR(VLOOKUP(A101&amp;"New PO-Net QTY",BRAND!$F$5:$X$825,MATCH(ORDER!D101,BRAND!$G$5:$X$5,0)+1,0),"")</f>
        <v/>
      </c>
      <c r="J101" s="53">
        <f t="shared" ca="1" si="11"/>
        <v>0</v>
      </c>
      <c r="K101" s="53">
        <f t="shared" ca="1" si="12"/>
        <v>0</v>
      </c>
      <c r="L101" s="54" t="e">
        <f ca="1">J101*INDEX(MASTERDATA!$AA$3:$AA$302,MATCH(ORDER!A101,MASTERDATA!$L$3:$L$302,0))</f>
        <v>#N/A</v>
      </c>
      <c r="M101" s="55">
        <f ca="1">IFERROR(INDEX(MASTERDATA!$AC$3:$AC$302,MATCH(ORDER!A101,MASTERDATA!$L$3:$L$302,0))*I101,0)</f>
        <v>0</v>
      </c>
      <c r="N101" s="56"/>
      <c r="O101" s="115">
        <f t="shared" si="13"/>
        <v>0</v>
      </c>
      <c r="P101" s="57" t="e">
        <f>INDEX(MASTERDATA!$M$3:$M$302,MATCH(ORDER!A101,MASTERDATA!$L$3:$L$302,0))</f>
        <v>#N/A</v>
      </c>
      <c r="Q101" s="58" t="e">
        <f>INDEX(MASTERDATA!$N$3:$N$302,MATCH(ORDER!A101,MASTERDATA!$L$3:$L$302,0))</f>
        <v>#N/A</v>
      </c>
      <c r="R101" s="57" t="str">
        <f t="shared" si="14"/>
        <v/>
      </c>
      <c r="S101" s="59"/>
      <c r="T101" s="59"/>
      <c r="U101" s="57" t="e">
        <f>INDEX(MASTERDATA!$AA$3:$AA$302,MATCH(ORDER!A101,MASTERDATA!$L$3:$L$302,0))*S101</f>
        <v>#N/A</v>
      </c>
      <c r="V101" s="60">
        <f>IFERROR(INDEX(MASTERDATA!$AC$3:$AC$302,MATCH(ORDER!A101,MASTERDATA!$L$3:$L$302,0))*R101,0)</f>
        <v>0</v>
      </c>
      <c r="W101" s="112" t="str">
        <f ca="1">IF(ISNUMBER(I101),VLOOKUP(A101&amp;"DSI End Period",BRAND!$F$5:$X$815,MATCH(D101,BRAND!$G$5:$X$5)+1,0),"")</f>
        <v/>
      </c>
      <c r="X101" s="61"/>
      <c r="Y101" s="62">
        <f>MASTERDATA!R101</f>
        <v>0</v>
      </c>
      <c r="Z101" s="63" t="e">
        <f>INDEX(MASTERDATA!$S$3:$S$302,MATCH(ORDER!A101,MASTERDATA!$L$3:$L$302,0))</f>
        <v>#N/A</v>
      </c>
      <c r="AA101" s="63" t="e">
        <f>INDEX(MASTERDATA!$U$3:$U$302,MATCH(ORDER!A101,MASTERDATA!$L$3:$L$302,0))</f>
        <v>#N/A</v>
      </c>
      <c r="AB101" s="62" t="e">
        <f>INDEX(MASTERDATA!$H$3:$H$302,MATCH(ORDER!A101,MASTERDATA!$L$3:$L$302,0))</f>
        <v>#N/A</v>
      </c>
    </row>
    <row r="102" spans="1:39" ht="15.75" x14ac:dyDescent="0.3">
      <c r="A102" s="114">
        <f>IF(AND(NOT(MASTERDATA!I102="yes"),NOT(MASTERDATA!K102="yes")),MASTERDATA!L102,"")</f>
        <v>0</v>
      </c>
      <c r="B102" s="49" t="e">
        <f>INDEX(MASTERDATA!$V$3:$V$302,MATCH(ORDER!A102,MASTERDATA!$L$3:$L$302,0))</f>
        <v>#N/A</v>
      </c>
      <c r="C102" s="50" t="e">
        <f>INDEX(MASTERDATA!$W$3:$W$302,MATCH(ORDER!A102,MASTERDATA!$L$3:$L$302,0))</f>
        <v>#N/A</v>
      </c>
      <c r="D102" s="51">
        <f ca="1">DATE(YEAR(BRAND!$B$1),MONTH(BRAND!$B$1)+MASTERDATA!Q102,DAY(1))</f>
        <v>42979</v>
      </c>
      <c r="E102" s="52" t="e">
        <f>INDEX(MASTERDATA!$AF$3:$AF$302,MATCH(ORDER!A102,MASTERDATA!$L$3:$L$302,0))</f>
        <v>#N/A</v>
      </c>
      <c r="F102" s="52" t="e">
        <f>INDEX(MASTERDATA!$AH$3:$AH$302,MATCH(ORDER!A102,MASTERDATA!$L$3:$L$302,0))</f>
        <v>#N/A</v>
      </c>
      <c r="G102" s="76"/>
      <c r="H102" s="113">
        <f t="shared" si="10"/>
        <v>0</v>
      </c>
      <c r="I102" s="79" t="str">
        <f ca="1">IFERROR(VLOOKUP(A102&amp;"New PO-Net QTY",BRAND!$F$5:$X$825,MATCH(ORDER!D102,BRAND!$G$5:$X$5,0)+1,0),"")</f>
        <v/>
      </c>
      <c r="J102" s="53">
        <f t="shared" ca="1" si="11"/>
        <v>0</v>
      </c>
      <c r="K102" s="53">
        <f t="shared" ca="1" si="12"/>
        <v>0</v>
      </c>
      <c r="L102" s="54" t="e">
        <f ca="1">J102*INDEX(MASTERDATA!$AA$3:$AA$302,MATCH(ORDER!A102,MASTERDATA!$L$3:$L$302,0))</f>
        <v>#N/A</v>
      </c>
      <c r="M102" s="55">
        <f ca="1">IFERROR(INDEX(MASTERDATA!$AC$3:$AC$302,MATCH(ORDER!A102,MASTERDATA!$L$3:$L$302,0))*I102,0)</f>
        <v>0</v>
      </c>
      <c r="N102" s="56"/>
      <c r="O102" s="115">
        <f t="shared" si="13"/>
        <v>0</v>
      </c>
      <c r="P102" s="57" t="e">
        <f>INDEX(MASTERDATA!$M$3:$M$302,MATCH(ORDER!A102,MASTERDATA!$L$3:$L$302,0))</f>
        <v>#N/A</v>
      </c>
      <c r="Q102" s="58" t="e">
        <f>INDEX(MASTERDATA!$N$3:$N$302,MATCH(ORDER!A102,MASTERDATA!$L$3:$L$302,0))</f>
        <v>#N/A</v>
      </c>
      <c r="R102" s="57" t="str">
        <f t="shared" si="14"/>
        <v/>
      </c>
      <c r="S102" s="59"/>
      <c r="T102" s="59"/>
      <c r="U102" s="57" t="e">
        <f>INDEX(MASTERDATA!$AA$3:$AA$302,MATCH(ORDER!A102,MASTERDATA!$L$3:$L$302,0))*S102</f>
        <v>#N/A</v>
      </c>
      <c r="V102" s="60">
        <f>IFERROR(INDEX(MASTERDATA!$AC$3:$AC$302,MATCH(ORDER!A102,MASTERDATA!$L$3:$L$302,0))*R102,0)</f>
        <v>0</v>
      </c>
      <c r="W102" s="112" t="str">
        <f ca="1">IF(ISNUMBER(I102),VLOOKUP(A102&amp;"DSI End Period",BRAND!$F$5:$X$815,MATCH(D102,BRAND!$G$5:$X$5)+1,0),"")</f>
        <v/>
      </c>
      <c r="X102" s="61"/>
      <c r="Y102" s="62">
        <f>MASTERDATA!R102</f>
        <v>0</v>
      </c>
      <c r="Z102" s="63" t="e">
        <f>INDEX(MASTERDATA!$S$3:$S$302,MATCH(ORDER!A102,MASTERDATA!$L$3:$L$302,0))</f>
        <v>#N/A</v>
      </c>
      <c r="AA102" s="63" t="e">
        <f>INDEX(MASTERDATA!$U$3:$U$302,MATCH(ORDER!A102,MASTERDATA!$L$3:$L$302,0))</f>
        <v>#N/A</v>
      </c>
      <c r="AB102" s="62" t="e">
        <f>INDEX(MASTERDATA!$H$3:$H$302,MATCH(ORDER!A102,MASTERDATA!$L$3:$L$302,0))</f>
        <v>#N/A</v>
      </c>
    </row>
    <row r="103" spans="1:39" ht="15.75" x14ac:dyDescent="0.3">
      <c r="A103" s="114">
        <f>IF(AND(NOT(MASTERDATA!I103="yes"),NOT(MASTERDATA!K103="yes")),MASTERDATA!L103,"")</f>
        <v>0</v>
      </c>
      <c r="B103" s="49" t="e">
        <f>INDEX(MASTERDATA!$V$3:$V$302,MATCH(ORDER!A103,MASTERDATA!$L$3:$L$302,0))</f>
        <v>#N/A</v>
      </c>
      <c r="C103" s="50" t="e">
        <f>INDEX(MASTERDATA!$W$3:$W$302,MATCH(ORDER!A103,MASTERDATA!$L$3:$L$302,0))</f>
        <v>#N/A</v>
      </c>
      <c r="D103" s="51">
        <f ca="1">DATE(YEAR(BRAND!$B$1),MONTH(BRAND!$B$1)+MASTERDATA!Q103,DAY(1))</f>
        <v>42979</v>
      </c>
      <c r="E103" s="52" t="e">
        <f>INDEX(MASTERDATA!$AF$3:$AF$302,MATCH(ORDER!A103,MASTERDATA!$L$3:$L$302,0))</f>
        <v>#N/A</v>
      </c>
      <c r="F103" s="52" t="e">
        <f>INDEX(MASTERDATA!$AH$3:$AH$302,MATCH(ORDER!A103,MASTERDATA!$L$3:$L$302,0))</f>
        <v>#N/A</v>
      </c>
      <c r="G103" s="76"/>
      <c r="H103" s="113">
        <f t="shared" si="10"/>
        <v>0</v>
      </c>
      <c r="I103" s="79" t="str">
        <f ca="1">IFERROR(VLOOKUP(A103&amp;"New PO-Net QTY",BRAND!$F$5:$X$825,MATCH(ORDER!D103,BRAND!$G$5:$X$5,0)+1,0),"")</f>
        <v/>
      </c>
      <c r="J103" s="53">
        <f t="shared" ca="1" si="11"/>
        <v>0</v>
      </c>
      <c r="K103" s="53">
        <f t="shared" ca="1" si="12"/>
        <v>0</v>
      </c>
      <c r="L103" s="54" t="e">
        <f ca="1">J103*INDEX(MASTERDATA!$AA$3:$AA$302,MATCH(ORDER!A103,MASTERDATA!$L$3:$L$302,0))</f>
        <v>#N/A</v>
      </c>
      <c r="M103" s="55">
        <f ca="1">IFERROR(INDEX(MASTERDATA!$AC$3:$AC$302,MATCH(ORDER!A103,MASTERDATA!$L$3:$L$302,0))*I103,0)</f>
        <v>0</v>
      </c>
      <c r="N103" s="56"/>
      <c r="O103" s="115">
        <f t="shared" si="13"/>
        <v>0</v>
      </c>
      <c r="P103" s="57" t="e">
        <f>INDEX(MASTERDATA!$M$3:$M$302,MATCH(ORDER!A103,MASTERDATA!$L$3:$L$302,0))</f>
        <v>#N/A</v>
      </c>
      <c r="Q103" s="58" t="e">
        <f>INDEX(MASTERDATA!$N$3:$N$302,MATCH(ORDER!A103,MASTERDATA!$L$3:$L$302,0))</f>
        <v>#N/A</v>
      </c>
      <c r="R103" s="57" t="str">
        <f t="shared" si="14"/>
        <v/>
      </c>
      <c r="S103" s="59"/>
      <c r="T103" s="59"/>
      <c r="U103" s="57" t="e">
        <f>INDEX(MASTERDATA!$AA$3:$AA$302,MATCH(ORDER!A103,MASTERDATA!$L$3:$L$302,0))*S103</f>
        <v>#N/A</v>
      </c>
      <c r="V103" s="60">
        <f>IFERROR(INDEX(MASTERDATA!$AC$3:$AC$302,MATCH(ORDER!A103,MASTERDATA!$L$3:$L$302,0))*R103,0)</f>
        <v>0</v>
      </c>
      <c r="W103" s="112" t="str">
        <f ca="1">IF(ISNUMBER(I103),VLOOKUP(A103&amp;"DSI End Period",BRAND!$F$5:$X$815,MATCH(D103,BRAND!$G$5:$X$5)+1,0),"")</f>
        <v/>
      </c>
      <c r="X103" s="61"/>
      <c r="Y103" s="62">
        <f>MASTERDATA!R103</f>
        <v>0</v>
      </c>
      <c r="Z103" s="63" t="e">
        <f>INDEX(MASTERDATA!$S$3:$S$302,MATCH(ORDER!A103,MASTERDATA!$L$3:$L$302,0))</f>
        <v>#N/A</v>
      </c>
      <c r="AA103" s="63" t="e">
        <f>INDEX(MASTERDATA!$U$3:$U$302,MATCH(ORDER!A103,MASTERDATA!$L$3:$L$302,0))</f>
        <v>#N/A</v>
      </c>
      <c r="AB103" s="62" t="e">
        <f>INDEX(MASTERDATA!$H$3:$H$302,MATCH(ORDER!A103,MASTERDATA!$L$3:$L$302,0))</f>
        <v>#N/A</v>
      </c>
    </row>
    <row r="104" spans="1:39" ht="15.75" x14ac:dyDescent="0.3">
      <c r="A104" s="114">
        <f>IF(AND(NOT(MASTERDATA!I104="yes"),NOT(MASTERDATA!K104="yes")),MASTERDATA!L104,"")</f>
        <v>0</v>
      </c>
      <c r="B104" s="49" t="e">
        <f>INDEX(MASTERDATA!$V$3:$V$302,MATCH(ORDER!A104,MASTERDATA!$L$3:$L$302,0))</f>
        <v>#N/A</v>
      </c>
      <c r="C104" s="50" t="e">
        <f>INDEX(MASTERDATA!$W$3:$W$302,MATCH(ORDER!A104,MASTERDATA!$L$3:$L$302,0))</f>
        <v>#N/A</v>
      </c>
      <c r="D104" s="51">
        <f ca="1">DATE(YEAR(BRAND!$B$1),MONTH(BRAND!$B$1)+MASTERDATA!Q104,DAY(1))</f>
        <v>42979</v>
      </c>
      <c r="E104" s="52" t="e">
        <f>INDEX(MASTERDATA!$AF$3:$AF$302,MATCH(ORDER!A104,MASTERDATA!$L$3:$L$302,0))</f>
        <v>#N/A</v>
      </c>
      <c r="F104" s="52" t="e">
        <f>INDEX(MASTERDATA!$AH$3:$AH$302,MATCH(ORDER!A104,MASTERDATA!$L$3:$L$302,0))</f>
        <v>#N/A</v>
      </c>
      <c r="G104" s="76"/>
      <c r="H104" s="113">
        <f t="shared" si="10"/>
        <v>0</v>
      </c>
      <c r="I104" s="79" t="str">
        <f ca="1">IFERROR(VLOOKUP(A104&amp;"New PO-Net QTY",BRAND!$F$5:$X$825,MATCH(ORDER!D104,BRAND!$G$5:$X$5,0)+1,0),"")</f>
        <v/>
      </c>
      <c r="J104" s="53">
        <f t="shared" ca="1" si="11"/>
        <v>0</v>
      </c>
      <c r="K104" s="53">
        <f t="shared" ca="1" si="12"/>
        <v>0</v>
      </c>
      <c r="L104" s="54" t="e">
        <f ca="1">J104*INDEX(MASTERDATA!$AA$3:$AA$302,MATCH(ORDER!A104,MASTERDATA!$L$3:$L$302,0))</f>
        <v>#N/A</v>
      </c>
      <c r="M104" s="55">
        <f ca="1">IFERROR(INDEX(MASTERDATA!$AC$3:$AC$302,MATCH(ORDER!A104,MASTERDATA!$L$3:$L$302,0))*I104,0)</f>
        <v>0</v>
      </c>
      <c r="N104" s="56"/>
      <c r="O104" s="115">
        <f t="shared" si="13"/>
        <v>0</v>
      </c>
      <c r="P104" s="57" t="e">
        <f>INDEX(MASTERDATA!$M$3:$M$302,MATCH(ORDER!A104,MASTERDATA!$L$3:$L$302,0))</f>
        <v>#N/A</v>
      </c>
      <c r="Q104" s="58" t="e">
        <f>INDEX(MASTERDATA!$N$3:$N$302,MATCH(ORDER!A104,MASTERDATA!$L$3:$L$302,0))</f>
        <v>#N/A</v>
      </c>
      <c r="R104" s="57" t="str">
        <f t="shared" si="14"/>
        <v/>
      </c>
      <c r="S104" s="59"/>
      <c r="T104" s="59"/>
      <c r="U104" s="57" t="e">
        <f>INDEX(MASTERDATA!$AA$3:$AA$302,MATCH(ORDER!A104,MASTERDATA!$L$3:$L$302,0))*S104</f>
        <v>#N/A</v>
      </c>
      <c r="V104" s="60">
        <f>IFERROR(INDEX(MASTERDATA!$AC$3:$AC$302,MATCH(ORDER!A104,MASTERDATA!$L$3:$L$302,0))*R104,0)</f>
        <v>0</v>
      </c>
      <c r="W104" s="112" t="str">
        <f ca="1">IF(ISNUMBER(I104),VLOOKUP(A104&amp;"DSI End Period",BRAND!$F$5:$X$815,MATCH(D104,BRAND!$G$5:$X$5)+1,0),"")</f>
        <v/>
      </c>
      <c r="X104" s="61"/>
      <c r="Y104" s="62">
        <f>MASTERDATA!R104</f>
        <v>0</v>
      </c>
      <c r="Z104" s="63" t="e">
        <f>INDEX(MASTERDATA!$S$3:$S$302,MATCH(ORDER!A104,MASTERDATA!$L$3:$L$302,0))</f>
        <v>#N/A</v>
      </c>
      <c r="AA104" s="63" t="e">
        <f>INDEX(MASTERDATA!$U$3:$U$302,MATCH(ORDER!A104,MASTERDATA!$L$3:$L$302,0))</f>
        <v>#N/A</v>
      </c>
      <c r="AB104" s="62" t="e">
        <f>INDEX(MASTERDATA!$H$3:$H$302,MATCH(ORDER!A104,MASTERDATA!$L$3:$L$302,0))</f>
        <v>#N/A</v>
      </c>
    </row>
  </sheetData>
  <autoFilter ref="A2:A104">
    <filterColumn colId="0">
      <customFilters>
        <customFilter operator="notEqual" val=" "/>
      </customFilters>
    </filterColumn>
  </autoFilter>
  <mergeCells count="2">
    <mergeCell ref="O1:W1"/>
    <mergeCell ref="H1:M1"/>
  </mergeCells>
  <phoneticPr fontId="3" type="noConversion"/>
  <conditionalFormatting sqref="W1:W104">
    <cfRule type="expression" dxfId="4" priority="1">
      <formula>NOT(ISNUMBER(W1))</formula>
    </cfRule>
    <cfRule type="cellIs" dxfId="3" priority="4" operator="greaterThan">
      <formula>55</formula>
    </cfRule>
    <cfRule type="cellIs" dxfId="2" priority="5" operator="between">
      <formula>20</formula>
      <formula>55</formula>
    </cfRule>
    <cfRule type="cellIs" dxfId="1" priority="6" operator="lessThanOrEqual">
      <formula>19.9</formula>
    </cfRule>
    <cfRule type="containsBlanks" dxfId="0" priority="7">
      <formula>LEN(TRIM(W1))=0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W1"/>
  <sheetViews>
    <sheetView zoomScaleNormal="100" workbookViewId="0">
      <selection activeCell="K27" sqref="K27"/>
    </sheetView>
  </sheetViews>
  <sheetFormatPr defaultRowHeight="13.5" x14ac:dyDescent="0.3"/>
  <sheetData>
    <row r="1" spans="2:49" ht="16.149999999999999" thickBot="1" x14ac:dyDescent="0.35">
      <c r="B1" s="67" t="s">
        <v>0</v>
      </c>
      <c r="C1" s="68">
        <v>42736</v>
      </c>
      <c r="D1" s="69" t="s">
        <v>0</v>
      </c>
      <c r="E1" s="70">
        <v>42767</v>
      </c>
      <c r="F1" s="67" t="s">
        <v>0</v>
      </c>
      <c r="G1" s="68">
        <v>42795</v>
      </c>
      <c r="H1" s="69" t="s">
        <v>0</v>
      </c>
      <c r="I1" s="70">
        <v>42826</v>
      </c>
      <c r="J1" s="67" t="s">
        <v>0</v>
      </c>
      <c r="K1" s="68">
        <v>42856</v>
      </c>
      <c r="L1" s="69" t="s">
        <v>0</v>
      </c>
      <c r="M1" s="70">
        <v>42887</v>
      </c>
      <c r="N1" s="67" t="s">
        <v>0</v>
      </c>
      <c r="O1" s="68">
        <v>42917</v>
      </c>
      <c r="P1" s="69" t="s">
        <v>0</v>
      </c>
      <c r="Q1" s="70">
        <v>42948</v>
      </c>
      <c r="R1" s="67" t="s">
        <v>0</v>
      </c>
      <c r="S1" s="68">
        <v>42979</v>
      </c>
      <c r="T1" s="69" t="s">
        <v>0</v>
      </c>
      <c r="U1" s="70">
        <v>43009</v>
      </c>
      <c r="V1" s="67" t="s">
        <v>0</v>
      </c>
      <c r="W1" s="68">
        <v>43040</v>
      </c>
      <c r="X1" s="69" t="s">
        <v>0</v>
      </c>
      <c r="Y1" s="70">
        <v>43070</v>
      </c>
      <c r="Z1" s="67" t="s">
        <v>0</v>
      </c>
      <c r="AA1" s="68">
        <v>43101</v>
      </c>
      <c r="AB1" s="69" t="s">
        <v>0</v>
      </c>
      <c r="AC1" s="70">
        <v>43132</v>
      </c>
      <c r="AD1" s="67" t="s">
        <v>0</v>
      </c>
      <c r="AE1" s="68">
        <v>43160</v>
      </c>
      <c r="AF1" s="69" t="s">
        <v>0</v>
      </c>
      <c r="AG1" s="70">
        <v>43191</v>
      </c>
      <c r="AH1" s="67" t="s">
        <v>0</v>
      </c>
      <c r="AI1" s="68">
        <v>43221</v>
      </c>
      <c r="AJ1" s="69" t="s">
        <v>0</v>
      </c>
      <c r="AK1" s="70">
        <v>43252</v>
      </c>
      <c r="AL1" s="67" t="s">
        <v>0</v>
      </c>
      <c r="AM1" s="68">
        <v>43282</v>
      </c>
      <c r="AN1" s="69" t="s">
        <v>0</v>
      </c>
      <c r="AO1" s="70">
        <v>43313</v>
      </c>
      <c r="AP1" s="67" t="s">
        <v>0</v>
      </c>
      <c r="AQ1" s="68">
        <v>43344</v>
      </c>
      <c r="AR1" s="69" t="s">
        <v>0</v>
      </c>
      <c r="AS1" s="70">
        <v>43374</v>
      </c>
      <c r="AT1" s="67" t="s">
        <v>0</v>
      </c>
      <c r="AU1" s="68">
        <v>43405</v>
      </c>
      <c r="AV1" s="69" t="s">
        <v>0</v>
      </c>
      <c r="AW1" s="70">
        <v>43435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W1"/>
  <sheetViews>
    <sheetView workbookViewId="0">
      <selection activeCell="E23" sqref="E23"/>
    </sheetView>
  </sheetViews>
  <sheetFormatPr defaultRowHeight="13.5" x14ac:dyDescent="0.3"/>
  <sheetData>
    <row r="1" spans="2:49" ht="16.149999999999999" thickBot="1" x14ac:dyDescent="0.35">
      <c r="B1" s="67" t="s">
        <v>0</v>
      </c>
      <c r="C1" s="68">
        <v>42736</v>
      </c>
      <c r="D1" s="69" t="s">
        <v>0</v>
      </c>
      <c r="E1" s="70">
        <v>42767</v>
      </c>
      <c r="F1" s="67" t="s">
        <v>0</v>
      </c>
      <c r="G1" s="68">
        <v>42795</v>
      </c>
      <c r="H1" s="69" t="s">
        <v>0</v>
      </c>
      <c r="I1" s="70">
        <v>42826</v>
      </c>
      <c r="J1" s="67" t="s">
        <v>0</v>
      </c>
      <c r="K1" s="68">
        <v>42856</v>
      </c>
      <c r="L1" s="69" t="s">
        <v>0</v>
      </c>
      <c r="M1" s="70">
        <v>42887</v>
      </c>
      <c r="N1" s="67" t="s">
        <v>0</v>
      </c>
      <c r="O1" s="68">
        <v>42917</v>
      </c>
      <c r="P1" s="69" t="s">
        <v>0</v>
      </c>
      <c r="Q1" s="70">
        <v>42948</v>
      </c>
      <c r="R1" s="67" t="s">
        <v>0</v>
      </c>
      <c r="S1" s="68">
        <v>42979</v>
      </c>
      <c r="T1" s="69" t="s">
        <v>0</v>
      </c>
      <c r="U1" s="70">
        <v>43009</v>
      </c>
      <c r="V1" s="67" t="s">
        <v>0</v>
      </c>
      <c r="W1" s="68">
        <v>43040</v>
      </c>
      <c r="X1" s="69" t="s">
        <v>0</v>
      </c>
      <c r="Y1" s="70">
        <v>43070</v>
      </c>
      <c r="Z1" s="67" t="s">
        <v>0</v>
      </c>
      <c r="AA1" s="68">
        <v>43101</v>
      </c>
      <c r="AB1" s="69" t="s">
        <v>0</v>
      </c>
      <c r="AC1" s="70">
        <v>43132</v>
      </c>
      <c r="AD1" s="67" t="s">
        <v>0</v>
      </c>
      <c r="AE1" s="68">
        <v>43160</v>
      </c>
      <c r="AF1" s="69" t="s">
        <v>0</v>
      </c>
      <c r="AG1" s="70">
        <v>43191</v>
      </c>
      <c r="AH1" s="67" t="s">
        <v>0</v>
      </c>
      <c r="AI1" s="68">
        <v>43221</v>
      </c>
      <c r="AJ1" s="69" t="s">
        <v>0</v>
      </c>
      <c r="AK1" s="70">
        <v>43252</v>
      </c>
      <c r="AL1" s="67" t="s">
        <v>0</v>
      </c>
      <c r="AM1" s="68">
        <v>43282</v>
      </c>
      <c r="AN1" s="69" t="s">
        <v>0</v>
      </c>
      <c r="AO1" s="70">
        <v>43313</v>
      </c>
      <c r="AP1" s="67" t="s">
        <v>0</v>
      </c>
      <c r="AQ1" s="68">
        <v>43344</v>
      </c>
      <c r="AR1" s="69" t="s">
        <v>0</v>
      </c>
      <c r="AS1" s="70">
        <v>43374</v>
      </c>
      <c r="AT1" s="67" t="s">
        <v>0</v>
      </c>
      <c r="AU1" s="68">
        <v>43405</v>
      </c>
      <c r="AV1" s="69" t="s">
        <v>0</v>
      </c>
      <c r="AW1" s="70">
        <v>43435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Z1"/>
  <sheetViews>
    <sheetView workbookViewId="0">
      <selection activeCell="T30" sqref="T30"/>
    </sheetView>
  </sheetViews>
  <sheetFormatPr defaultRowHeight="13.5" x14ac:dyDescent="0.3"/>
  <cols>
    <col min="5" max="18" width="0" hidden="1" customWidth="1"/>
  </cols>
  <sheetData>
    <row r="1" spans="2:52" ht="16.149999999999999" thickBot="1" x14ac:dyDescent="0.35">
      <c r="B1" t="s">
        <v>233</v>
      </c>
      <c r="C1" t="s">
        <v>234</v>
      </c>
      <c r="E1" s="67" t="s">
        <v>0</v>
      </c>
      <c r="F1" s="68">
        <v>42736</v>
      </c>
      <c r="G1" s="69" t="s">
        <v>0</v>
      </c>
      <c r="H1" s="70">
        <v>42767</v>
      </c>
      <c r="I1" s="67" t="s">
        <v>0</v>
      </c>
      <c r="J1" s="68">
        <v>42795</v>
      </c>
      <c r="K1" s="69" t="s">
        <v>0</v>
      </c>
      <c r="L1" s="70">
        <v>42826</v>
      </c>
      <c r="M1" s="67" t="s">
        <v>0</v>
      </c>
      <c r="N1" s="68">
        <v>42856</v>
      </c>
      <c r="O1" s="69" t="s">
        <v>0</v>
      </c>
      <c r="P1" s="70">
        <v>42887</v>
      </c>
      <c r="Q1" s="67" t="s">
        <v>0</v>
      </c>
      <c r="R1" s="68">
        <v>42917</v>
      </c>
      <c r="S1" s="69" t="s">
        <v>0</v>
      </c>
      <c r="T1" s="70">
        <v>42948</v>
      </c>
      <c r="U1" s="67" t="s">
        <v>0</v>
      </c>
      <c r="V1" s="68">
        <v>42979</v>
      </c>
      <c r="W1" s="69" t="s">
        <v>0</v>
      </c>
      <c r="X1" s="70">
        <v>43009</v>
      </c>
      <c r="Y1" s="67" t="s">
        <v>0</v>
      </c>
      <c r="Z1" s="68">
        <v>43040</v>
      </c>
      <c r="AA1" s="69" t="s">
        <v>0</v>
      </c>
      <c r="AB1" s="70">
        <v>43070</v>
      </c>
      <c r="AC1" s="67" t="s">
        <v>0</v>
      </c>
      <c r="AD1" s="68">
        <v>43101</v>
      </c>
      <c r="AE1" s="69" t="s">
        <v>0</v>
      </c>
      <c r="AF1" s="70">
        <v>43132</v>
      </c>
      <c r="AG1" s="67" t="s">
        <v>0</v>
      </c>
      <c r="AH1" s="68">
        <v>43160</v>
      </c>
      <c r="AI1" s="69" t="s">
        <v>0</v>
      </c>
      <c r="AJ1" s="70">
        <v>43191</v>
      </c>
      <c r="AK1" s="67" t="s">
        <v>0</v>
      </c>
      <c r="AL1" s="68">
        <v>43221</v>
      </c>
      <c r="AM1" s="69" t="s">
        <v>0</v>
      </c>
      <c r="AN1" s="70">
        <v>43252</v>
      </c>
      <c r="AO1" s="67" t="s">
        <v>0</v>
      </c>
      <c r="AP1" s="68">
        <v>43282</v>
      </c>
      <c r="AQ1" s="69" t="s">
        <v>0</v>
      </c>
      <c r="AR1" s="70">
        <v>43313</v>
      </c>
      <c r="AS1" s="67" t="s">
        <v>0</v>
      </c>
      <c r="AT1" s="68">
        <v>43344</v>
      </c>
      <c r="AU1" s="69" t="s">
        <v>0</v>
      </c>
      <c r="AV1" s="70">
        <v>43374</v>
      </c>
      <c r="AW1" s="67" t="s">
        <v>0</v>
      </c>
      <c r="AX1" s="68">
        <v>43405</v>
      </c>
      <c r="AY1" s="69" t="s">
        <v>0</v>
      </c>
      <c r="AZ1" s="70">
        <v>43435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E1:AZ30"/>
  <sheetViews>
    <sheetView workbookViewId="0">
      <selection activeCell="T28" sqref="T28"/>
    </sheetView>
  </sheetViews>
  <sheetFormatPr defaultRowHeight="13.5" x14ac:dyDescent="0.3"/>
  <sheetData>
    <row r="1" spans="5:52" ht="16.149999999999999" thickBot="1" x14ac:dyDescent="0.35">
      <c r="E1" s="67" t="s">
        <v>0</v>
      </c>
      <c r="F1" s="68">
        <v>42736</v>
      </c>
      <c r="G1" s="69" t="s">
        <v>0</v>
      </c>
      <c r="H1" s="70">
        <v>42767</v>
      </c>
      <c r="I1" s="67" t="s">
        <v>0</v>
      </c>
      <c r="J1" s="68">
        <v>42795</v>
      </c>
      <c r="K1" s="69" t="s">
        <v>0</v>
      </c>
      <c r="L1" s="70">
        <v>42826</v>
      </c>
      <c r="M1" s="67" t="s">
        <v>0</v>
      </c>
      <c r="N1" s="68">
        <v>42856</v>
      </c>
      <c r="O1" s="69" t="s">
        <v>0</v>
      </c>
      <c r="P1" s="70">
        <v>42887</v>
      </c>
      <c r="Q1" s="67" t="s">
        <v>0</v>
      </c>
      <c r="R1" s="68">
        <v>42917</v>
      </c>
      <c r="S1" s="69" t="s">
        <v>0</v>
      </c>
      <c r="T1" s="70">
        <v>42948</v>
      </c>
      <c r="U1" s="67" t="s">
        <v>0</v>
      </c>
      <c r="V1" s="68">
        <v>42979</v>
      </c>
      <c r="W1" s="69" t="s">
        <v>0</v>
      </c>
      <c r="X1" s="70">
        <v>43009</v>
      </c>
      <c r="Y1" s="67" t="s">
        <v>0</v>
      </c>
      <c r="Z1" s="68">
        <v>43040</v>
      </c>
      <c r="AA1" s="69" t="s">
        <v>0</v>
      </c>
      <c r="AB1" s="70">
        <v>43070</v>
      </c>
      <c r="AC1" s="67" t="s">
        <v>0</v>
      </c>
      <c r="AD1" s="68">
        <v>43101</v>
      </c>
      <c r="AE1" s="69" t="s">
        <v>0</v>
      </c>
      <c r="AF1" s="70">
        <v>43132</v>
      </c>
      <c r="AG1" s="67" t="s">
        <v>0</v>
      </c>
      <c r="AH1" s="68">
        <v>43160</v>
      </c>
      <c r="AI1" s="69" t="s">
        <v>0</v>
      </c>
      <c r="AJ1" s="70">
        <v>43191</v>
      </c>
      <c r="AK1" s="67" t="s">
        <v>0</v>
      </c>
      <c r="AL1" s="68">
        <v>43221</v>
      </c>
      <c r="AM1" s="69" t="s">
        <v>0</v>
      </c>
      <c r="AN1" s="70">
        <v>43252</v>
      </c>
      <c r="AO1" s="67" t="s">
        <v>0</v>
      </c>
      <c r="AP1" s="68">
        <v>43282</v>
      </c>
      <c r="AQ1" s="69" t="s">
        <v>0</v>
      </c>
      <c r="AR1" s="70">
        <v>43313</v>
      </c>
      <c r="AS1" s="67" t="s">
        <v>0</v>
      </c>
      <c r="AT1" s="68">
        <v>43344</v>
      </c>
      <c r="AU1" s="69" t="s">
        <v>0</v>
      </c>
      <c r="AV1" s="70">
        <v>43374</v>
      </c>
      <c r="AW1" s="67" t="s">
        <v>0</v>
      </c>
      <c r="AX1" s="68">
        <v>43405</v>
      </c>
      <c r="AY1" s="69" t="s">
        <v>0</v>
      </c>
      <c r="AZ1" s="70">
        <v>43435</v>
      </c>
    </row>
    <row r="2" spans="5:52" x14ac:dyDescent="0.15">
      <c r="U2" s="109" t="s">
        <v>101</v>
      </c>
      <c r="V2" s="110">
        <v>13.52</v>
      </c>
    </row>
    <row r="3" spans="5:52" x14ac:dyDescent="0.15">
      <c r="U3" s="109" t="s">
        <v>102</v>
      </c>
      <c r="V3" s="110">
        <v>60</v>
      </c>
    </row>
    <row r="4" spans="5:52" x14ac:dyDescent="0.15">
      <c r="U4" s="109" t="s">
        <v>103</v>
      </c>
      <c r="V4" s="110">
        <v>14</v>
      </c>
    </row>
    <row r="5" spans="5:52" x14ac:dyDescent="0.15">
      <c r="U5" s="109" t="s">
        <v>104</v>
      </c>
      <c r="V5" s="110">
        <v>34.07</v>
      </c>
    </row>
    <row r="6" spans="5:52" x14ac:dyDescent="0.15">
      <c r="U6" s="109" t="s">
        <v>106</v>
      </c>
      <c r="V6" s="110">
        <v>2200</v>
      </c>
    </row>
    <row r="7" spans="5:52" x14ac:dyDescent="0.15">
      <c r="U7" s="109" t="s">
        <v>110</v>
      </c>
      <c r="V7" s="110">
        <v>800</v>
      </c>
    </row>
    <row r="8" spans="5:52" x14ac:dyDescent="0.15">
      <c r="U8" s="109" t="s">
        <v>113</v>
      </c>
      <c r="V8" s="110">
        <v>640</v>
      </c>
    </row>
    <row r="9" spans="5:52" x14ac:dyDescent="0.15">
      <c r="U9" s="109" t="s">
        <v>115</v>
      </c>
      <c r="V9" s="110">
        <v>2120</v>
      </c>
    </row>
    <row r="10" spans="5:52" x14ac:dyDescent="0.15">
      <c r="U10" s="109" t="s">
        <v>118</v>
      </c>
      <c r="V10" s="110">
        <v>680</v>
      </c>
    </row>
    <row r="11" spans="5:52" x14ac:dyDescent="0.15">
      <c r="U11" s="109" t="s">
        <v>120</v>
      </c>
      <c r="V11" s="110">
        <v>1040</v>
      </c>
    </row>
    <row r="12" spans="5:52" x14ac:dyDescent="0.15">
      <c r="U12" s="109" t="s">
        <v>122</v>
      </c>
      <c r="V12" s="110">
        <v>48</v>
      </c>
    </row>
    <row r="13" spans="5:52" x14ac:dyDescent="0.15">
      <c r="U13" s="109" t="s">
        <v>124</v>
      </c>
      <c r="V13" s="110">
        <v>72</v>
      </c>
    </row>
    <row r="14" spans="5:52" x14ac:dyDescent="0.15">
      <c r="U14" s="109" t="s">
        <v>126</v>
      </c>
      <c r="V14" s="110">
        <v>6.3460000000000001</v>
      </c>
    </row>
    <row r="15" spans="5:52" x14ac:dyDescent="0.15">
      <c r="U15" s="109" t="s">
        <v>127</v>
      </c>
      <c r="V15" s="110">
        <v>20.943999999999999</v>
      </c>
    </row>
    <row r="16" spans="5:52" x14ac:dyDescent="0.15">
      <c r="U16" s="109" t="s">
        <v>128</v>
      </c>
      <c r="V16" s="110">
        <v>400</v>
      </c>
    </row>
    <row r="17" spans="21:22" x14ac:dyDescent="0.15">
      <c r="U17" s="109" t="s">
        <v>130</v>
      </c>
      <c r="V17" s="110">
        <v>840</v>
      </c>
    </row>
    <row r="18" spans="21:22" x14ac:dyDescent="0.15">
      <c r="U18" s="109" t="s">
        <v>133</v>
      </c>
      <c r="V18" s="110">
        <v>18</v>
      </c>
    </row>
    <row r="19" spans="21:22" x14ac:dyDescent="0.15">
      <c r="U19" s="109" t="s">
        <v>135</v>
      </c>
      <c r="V19" s="110">
        <v>4680</v>
      </c>
    </row>
    <row r="20" spans="21:22" x14ac:dyDescent="0.15">
      <c r="U20" s="109" t="s">
        <v>138</v>
      </c>
      <c r="V20" s="110">
        <v>7686</v>
      </c>
    </row>
    <row r="21" spans="21:22" x14ac:dyDescent="0.15">
      <c r="U21" s="109" t="s">
        <v>146</v>
      </c>
      <c r="V21" s="110">
        <v>240</v>
      </c>
    </row>
    <row r="22" spans="21:22" x14ac:dyDescent="0.15">
      <c r="U22" s="109" t="s">
        <v>147</v>
      </c>
      <c r="V22" s="110">
        <v>120</v>
      </c>
    </row>
    <row r="23" spans="21:22" x14ac:dyDescent="0.15">
      <c r="U23" s="109" t="s">
        <v>160</v>
      </c>
      <c r="V23" s="110">
        <v>2280</v>
      </c>
    </row>
    <row r="24" spans="21:22" x14ac:dyDescent="0.15">
      <c r="U24" s="109" t="s">
        <v>161</v>
      </c>
      <c r="V24" s="110">
        <v>534</v>
      </c>
    </row>
    <row r="25" spans="21:22" x14ac:dyDescent="0.15">
      <c r="U25" s="109" t="s">
        <v>163</v>
      </c>
      <c r="V25" s="110">
        <v>300</v>
      </c>
    </row>
    <row r="26" spans="21:22" x14ac:dyDescent="0.15">
      <c r="U26" s="109" t="s">
        <v>166</v>
      </c>
      <c r="V26" s="110">
        <v>300</v>
      </c>
    </row>
    <row r="27" spans="21:22" x14ac:dyDescent="0.15">
      <c r="U27" s="109" t="s">
        <v>168</v>
      </c>
      <c r="V27" s="110">
        <v>108</v>
      </c>
    </row>
    <row r="28" spans="21:22" x14ac:dyDescent="0.3">
      <c r="U28" s="109" t="s">
        <v>232</v>
      </c>
      <c r="V28" s="110"/>
    </row>
    <row r="29" spans="21:22" x14ac:dyDescent="0.15">
      <c r="U29" s="109" t="s">
        <v>141</v>
      </c>
      <c r="V29" s="110">
        <v>400</v>
      </c>
    </row>
    <row r="30" spans="21:22" x14ac:dyDescent="0.15">
      <c r="U30" s="109" t="s">
        <v>153</v>
      </c>
      <c r="V30" s="110">
        <v>900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Z60"/>
  <sheetViews>
    <sheetView zoomScale="85" zoomScaleNormal="85" workbookViewId="0">
      <selection activeCell="V65" sqref="V65"/>
    </sheetView>
  </sheetViews>
  <sheetFormatPr defaultRowHeight="13.5" x14ac:dyDescent="0.3"/>
  <cols>
    <col min="4" max="6" width="10.3984375" bestFit="1" customWidth="1"/>
    <col min="12" max="14" width="10.3984375" bestFit="1" customWidth="1"/>
    <col min="16" max="18" width="10.3984375" bestFit="1" customWidth="1"/>
    <col min="24" max="26" width="10.3984375" bestFit="1" customWidth="1"/>
  </cols>
  <sheetData>
    <row r="1" spans="2:26" x14ac:dyDescent="0.15">
      <c r="B1" s="90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</row>
    <row r="2" spans="2:26" x14ac:dyDescent="0.15">
      <c r="B2" s="121"/>
    </row>
    <row r="3" spans="2:26" x14ac:dyDescent="0.15">
      <c r="B3" s="121"/>
    </row>
    <row r="4" spans="2:26" x14ac:dyDescent="0.15">
      <c r="B4" s="121"/>
    </row>
    <row r="5" spans="2:26" x14ac:dyDescent="0.15">
      <c r="B5" s="121"/>
    </row>
    <row r="6" spans="2:26" x14ac:dyDescent="0.15">
      <c r="B6" s="121"/>
    </row>
    <row r="7" spans="2:26" x14ac:dyDescent="0.15">
      <c r="B7" s="121"/>
    </row>
    <row r="8" spans="2:26" x14ac:dyDescent="0.15">
      <c r="B8" s="121"/>
    </row>
    <row r="9" spans="2:26" x14ac:dyDescent="0.15">
      <c r="B9" s="121"/>
    </row>
    <row r="10" spans="2:26" x14ac:dyDescent="0.15">
      <c r="B10" s="121"/>
    </row>
    <row r="11" spans="2:26" x14ac:dyDescent="0.15">
      <c r="B11" s="121"/>
    </row>
    <row r="12" spans="2:26" x14ac:dyDescent="0.15">
      <c r="B12" s="121"/>
    </row>
    <row r="13" spans="2:26" x14ac:dyDescent="0.15">
      <c r="B13" s="121"/>
    </row>
    <row r="14" spans="2:26" x14ac:dyDescent="0.15">
      <c r="B14" s="121"/>
    </row>
    <row r="15" spans="2:26" x14ac:dyDescent="0.15">
      <c r="B15" s="121"/>
    </row>
    <row r="16" spans="2:26" x14ac:dyDescent="0.15">
      <c r="B16" s="121"/>
    </row>
    <row r="17" spans="2:2" x14ac:dyDescent="0.15">
      <c r="B17" s="121"/>
    </row>
    <row r="18" spans="2:2" x14ac:dyDescent="0.15">
      <c r="B18" s="121"/>
    </row>
    <row r="19" spans="2:2" x14ac:dyDescent="0.15">
      <c r="B19" s="121"/>
    </row>
    <row r="20" spans="2:2" x14ac:dyDescent="0.15">
      <c r="B20" s="121"/>
    </row>
    <row r="21" spans="2:2" x14ac:dyDescent="0.15">
      <c r="B21" s="121"/>
    </row>
    <row r="22" spans="2:2" x14ac:dyDescent="0.15">
      <c r="B22" s="121"/>
    </row>
    <row r="23" spans="2:2" x14ac:dyDescent="0.15">
      <c r="B23" s="121"/>
    </row>
    <row r="24" spans="2:2" x14ac:dyDescent="0.15">
      <c r="B24" s="121"/>
    </row>
    <row r="25" spans="2:2" x14ac:dyDescent="0.15">
      <c r="B25" s="121"/>
    </row>
    <row r="26" spans="2:2" x14ac:dyDescent="0.15">
      <c r="B26" s="121"/>
    </row>
    <row r="27" spans="2:2" x14ac:dyDescent="0.15">
      <c r="B27" s="121"/>
    </row>
    <row r="28" spans="2:2" x14ac:dyDescent="0.15">
      <c r="B28" s="121"/>
    </row>
    <row r="29" spans="2:2" x14ac:dyDescent="0.15">
      <c r="B29" s="121"/>
    </row>
    <row r="30" spans="2:2" x14ac:dyDescent="0.15">
      <c r="B30" s="121"/>
    </row>
    <row r="31" spans="2:2" x14ac:dyDescent="0.15">
      <c r="B31" s="121"/>
    </row>
    <row r="32" spans="2:2" x14ac:dyDescent="0.15">
      <c r="B32" s="121"/>
    </row>
    <row r="33" spans="2:2" x14ac:dyDescent="0.15">
      <c r="B33" s="121"/>
    </row>
    <row r="34" spans="2:2" x14ac:dyDescent="0.15">
      <c r="B34" s="121"/>
    </row>
    <row r="35" spans="2:2" x14ac:dyDescent="0.15">
      <c r="B35" s="121"/>
    </row>
    <row r="36" spans="2:2" x14ac:dyDescent="0.15">
      <c r="B36" s="121"/>
    </row>
    <row r="37" spans="2:2" x14ac:dyDescent="0.15">
      <c r="B37" s="121"/>
    </row>
    <row r="38" spans="2:2" x14ac:dyDescent="0.15">
      <c r="B38" s="121"/>
    </row>
    <row r="39" spans="2:2" x14ac:dyDescent="0.15">
      <c r="B39" s="121"/>
    </row>
    <row r="40" spans="2:2" x14ac:dyDescent="0.3">
      <c r="B40" s="121"/>
    </row>
    <row r="41" spans="2:2" x14ac:dyDescent="0.3">
      <c r="B41" s="121"/>
    </row>
    <row r="42" spans="2:2" x14ac:dyDescent="0.3">
      <c r="B42" s="121"/>
    </row>
    <row r="43" spans="2:2" x14ac:dyDescent="0.3">
      <c r="B43" s="121"/>
    </row>
    <row r="44" spans="2:2" x14ac:dyDescent="0.3">
      <c r="B44" s="121"/>
    </row>
    <row r="45" spans="2:2" x14ac:dyDescent="0.3">
      <c r="B45" s="121"/>
    </row>
    <row r="46" spans="2:2" x14ac:dyDescent="0.3">
      <c r="B46" s="121"/>
    </row>
    <row r="47" spans="2:2" x14ac:dyDescent="0.3">
      <c r="B47" s="121"/>
    </row>
    <row r="48" spans="2:2" x14ac:dyDescent="0.3">
      <c r="B48" s="121"/>
    </row>
    <row r="49" spans="2:2" x14ac:dyDescent="0.3">
      <c r="B49" s="121"/>
    </row>
    <row r="50" spans="2:2" x14ac:dyDescent="0.3">
      <c r="B50" s="121"/>
    </row>
    <row r="51" spans="2:2" x14ac:dyDescent="0.3">
      <c r="B51" s="121"/>
    </row>
    <row r="52" spans="2:2" x14ac:dyDescent="0.3">
      <c r="B52" s="121"/>
    </row>
    <row r="53" spans="2:2" x14ac:dyDescent="0.3">
      <c r="B53" s="121"/>
    </row>
    <row r="54" spans="2:2" x14ac:dyDescent="0.3">
      <c r="B54" s="121"/>
    </row>
    <row r="55" spans="2:2" x14ac:dyDescent="0.3">
      <c r="B55" s="121"/>
    </row>
    <row r="56" spans="2:2" x14ac:dyDescent="0.3">
      <c r="B56" s="121"/>
    </row>
    <row r="57" spans="2:2" x14ac:dyDescent="0.3">
      <c r="B57" s="121"/>
    </row>
    <row r="58" spans="2:2" x14ac:dyDescent="0.3">
      <c r="B58" s="121"/>
    </row>
    <row r="59" spans="2:2" x14ac:dyDescent="0.3">
      <c r="B59" s="121"/>
    </row>
    <row r="60" spans="2:2" x14ac:dyDescent="0.3">
      <c r="B60" s="121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A1"/>
  <sheetViews>
    <sheetView zoomScale="85" zoomScaleNormal="85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J40" sqref="J40"/>
    </sheetView>
  </sheetViews>
  <sheetFormatPr defaultRowHeight="13.5" x14ac:dyDescent="0.3"/>
  <cols>
    <col min="1" max="1" width="11.3984375" customWidth="1"/>
    <col min="2" max="2" width="12.86328125" bestFit="1" customWidth="1"/>
    <col min="3" max="3" width="15" bestFit="1" customWidth="1"/>
    <col min="4" max="8" width="10.3984375" bestFit="1" customWidth="1"/>
    <col min="9" max="9" width="10" customWidth="1"/>
    <col min="10" max="10" width="10.3984375" bestFit="1" customWidth="1"/>
    <col min="11" max="15" width="10" bestFit="1" customWidth="1"/>
  </cols>
  <sheetData>
    <row r="1" spans="2:27" ht="39" customHeight="1" thickBot="1" x14ac:dyDescent="0.35">
      <c r="B1" s="71" t="s">
        <v>94</v>
      </c>
      <c r="C1" s="72" t="s">
        <v>0</v>
      </c>
      <c r="D1" s="73">
        <v>42736</v>
      </c>
      <c r="E1" s="74">
        <v>42767</v>
      </c>
      <c r="F1" s="73">
        <v>42795</v>
      </c>
      <c r="G1" s="74">
        <v>42826</v>
      </c>
      <c r="H1" s="73">
        <v>42856</v>
      </c>
      <c r="I1" s="74">
        <v>42887</v>
      </c>
      <c r="J1" s="73">
        <v>42917</v>
      </c>
      <c r="K1" s="74">
        <v>42948</v>
      </c>
      <c r="L1" s="73">
        <v>42979</v>
      </c>
      <c r="M1" s="74">
        <v>43009</v>
      </c>
      <c r="N1" s="73">
        <v>43040</v>
      </c>
      <c r="O1" s="74">
        <v>43070</v>
      </c>
      <c r="P1" s="73">
        <v>43101</v>
      </c>
      <c r="Q1" s="74">
        <v>43132</v>
      </c>
      <c r="R1" s="73">
        <v>43160</v>
      </c>
      <c r="S1" s="74">
        <v>43191</v>
      </c>
      <c r="T1" s="73">
        <v>43221</v>
      </c>
      <c r="U1" s="74">
        <v>43252</v>
      </c>
      <c r="V1" s="73">
        <v>43282</v>
      </c>
      <c r="W1" s="74">
        <v>43313</v>
      </c>
      <c r="X1" s="73">
        <v>43344</v>
      </c>
      <c r="Y1" s="74">
        <v>43374</v>
      </c>
      <c r="Z1" s="73">
        <v>43405</v>
      </c>
      <c r="AA1" s="74">
        <v>43435</v>
      </c>
    </row>
  </sheetData>
  <autoFilter ref="C1:C165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V3"/>
  <sheetViews>
    <sheetView zoomScale="85" zoomScaleNormal="85" workbookViewId="0">
      <pane xSplit="12" ySplit="2" topLeftCell="M3" activePane="bottomRight" state="frozenSplit"/>
      <selection pane="topRight" activeCell="M1" sqref="M1"/>
      <selection pane="bottomLeft" activeCell="A3" sqref="A3"/>
      <selection pane="bottomRight" activeCell="J19" sqref="J19"/>
    </sheetView>
  </sheetViews>
  <sheetFormatPr defaultRowHeight="13.5" x14ac:dyDescent="0.3"/>
  <cols>
    <col min="9" max="9" width="9" bestFit="1" customWidth="1"/>
    <col min="12" max="12" width="13.59765625" customWidth="1"/>
    <col min="13" max="13" width="11.3984375" customWidth="1"/>
    <col min="14" max="14" width="9.1328125" customWidth="1"/>
    <col min="15" max="15" width="34.1328125" customWidth="1"/>
    <col min="16" max="17" width="9.1328125" customWidth="1"/>
    <col min="45" max="45" width="9.265625" customWidth="1"/>
  </cols>
  <sheetData>
    <row r="1" spans="1:256" s="97" customFormat="1" ht="18" x14ac:dyDescent="0.3">
      <c r="A1" s="138" t="s">
        <v>41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 t="s">
        <v>42</v>
      </c>
      <c r="M1" s="138"/>
      <c r="N1" s="138"/>
      <c r="O1" s="138"/>
      <c r="P1" s="138"/>
      <c r="Q1" s="138"/>
      <c r="R1" s="138" t="s">
        <v>43</v>
      </c>
      <c r="S1" s="138"/>
      <c r="T1" s="138"/>
      <c r="U1" s="138"/>
      <c r="V1" s="138" t="s">
        <v>44</v>
      </c>
      <c r="W1" s="138"/>
      <c r="X1" s="138"/>
      <c r="Y1" s="138"/>
      <c r="Z1" s="138"/>
      <c r="AA1" s="138"/>
      <c r="AB1" s="138"/>
      <c r="AC1" s="138"/>
      <c r="AD1" s="138"/>
      <c r="AE1" s="137" t="s">
        <v>45</v>
      </c>
      <c r="AF1" s="137"/>
      <c r="AG1" s="137"/>
      <c r="AH1" s="137"/>
      <c r="AI1" s="137" t="s">
        <v>46</v>
      </c>
      <c r="AJ1" s="137"/>
      <c r="AK1" s="137"/>
      <c r="AL1" s="137" t="s">
        <v>47</v>
      </c>
      <c r="AM1" s="137"/>
      <c r="AN1" s="137"/>
      <c r="AO1" s="137"/>
      <c r="AP1" s="137" t="s">
        <v>48</v>
      </c>
      <c r="AQ1" s="137"/>
      <c r="AR1" s="137"/>
      <c r="AS1" s="137"/>
      <c r="AT1" s="137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7" customFormat="1" ht="60.75" customHeight="1" x14ac:dyDescent="0.3">
      <c r="A2" s="98" t="s">
        <v>49</v>
      </c>
      <c r="B2" s="98" t="s">
        <v>50</v>
      </c>
      <c r="C2" s="92" t="s">
        <v>51</v>
      </c>
      <c r="D2" s="98" t="s">
        <v>52</v>
      </c>
      <c r="E2" s="98" t="s">
        <v>53</v>
      </c>
      <c r="F2" s="98" t="s">
        <v>54</v>
      </c>
      <c r="G2" s="98" t="s">
        <v>55</v>
      </c>
      <c r="H2" s="92" t="s">
        <v>56</v>
      </c>
      <c r="I2" s="102" t="s">
        <v>97</v>
      </c>
      <c r="J2" s="98" t="s">
        <v>57</v>
      </c>
      <c r="K2" s="98" t="s">
        <v>58</v>
      </c>
      <c r="L2" s="102" t="s">
        <v>59</v>
      </c>
      <c r="M2" s="98" t="s">
        <v>60</v>
      </c>
      <c r="N2" s="99" t="s">
        <v>61</v>
      </c>
      <c r="O2" s="98" t="s">
        <v>62</v>
      </c>
      <c r="P2" s="98" t="s">
        <v>63</v>
      </c>
      <c r="Q2" s="102" t="s">
        <v>64</v>
      </c>
      <c r="R2" s="102" t="s">
        <v>65</v>
      </c>
      <c r="S2" s="103" t="s">
        <v>66</v>
      </c>
      <c r="T2" s="104" t="s">
        <v>67</v>
      </c>
      <c r="U2" s="92" t="s">
        <v>68</v>
      </c>
      <c r="V2" s="92" t="s">
        <v>69</v>
      </c>
      <c r="W2" s="92" t="s">
        <v>70</v>
      </c>
      <c r="X2" s="98" t="s">
        <v>71</v>
      </c>
      <c r="Y2" s="98" t="s">
        <v>72</v>
      </c>
      <c r="Z2" s="98" t="s">
        <v>73</v>
      </c>
      <c r="AA2" s="92" t="s">
        <v>74</v>
      </c>
      <c r="AB2" s="98" t="s">
        <v>75</v>
      </c>
      <c r="AC2" s="92" t="s">
        <v>76</v>
      </c>
      <c r="AD2" s="91" t="s">
        <v>77</v>
      </c>
      <c r="AE2" s="91" t="s">
        <v>78</v>
      </c>
      <c r="AF2" s="92" t="s">
        <v>79</v>
      </c>
      <c r="AG2" s="91" t="s">
        <v>80</v>
      </c>
      <c r="AH2" s="91" t="s">
        <v>81</v>
      </c>
      <c r="AI2" s="91" t="s">
        <v>82</v>
      </c>
      <c r="AJ2" s="91" t="s">
        <v>83</v>
      </c>
      <c r="AK2" s="91" t="s">
        <v>84</v>
      </c>
      <c r="AL2" s="91" t="s">
        <v>85</v>
      </c>
      <c r="AM2" s="91" t="s">
        <v>86</v>
      </c>
      <c r="AN2" s="91" t="s">
        <v>87</v>
      </c>
      <c r="AO2" s="91" t="s">
        <v>88</v>
      </c>
      <c r="AP2" s="91" t="s">
        <v>89</v>
      </c>
      <c r="AQ2" s="91" t="s">
        <v>90</v>
      </c>
      <c r="AR2" s="91" t="s">
        <v>91</v>
      </c>
      <c r="AS2" s="91" t="s">
        <v>92</v>
      </c>
      <c r="AT2" s="91" t="s">
        <v>93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</row>
    <row r="3" spans="1:256" ht="12.75" customHeight="1" x14ac:dyDescent="0.3"/>
  </sheetData>
  <autoFilter ref="L2:L104"/>
  <mergeCells count="8">
    <mergeCell ref="AL1:AO1"/>
    <mergeCell ref="AP1:AT1"/>
    <mergeCell ref="A1:K1"/>
    <mergeCell ref="L1:Q1"/>
    <mergeCell ref="R1:U1"/>
    <mergeCell ref="V1:AD1"/>
    <mergeCell ref="AE1:AH1"/>
    <mergeCell ref="AI1:AK1"/>
  </mergeCells>
  <phoneticPr fontId="3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BRAND</vt:lpstr>
      <vt:lpstr>REPACKING</vt:lpstr>
      <vt:lpstr>BOM</vt:lpstr>
      <vt:lpstr>ORDER</vt:lpstr>
      <vt:lpstr>Forecast</vt:lpstr>
      <vt:lpstr>Sales</vt:lpstr>
      <vt:lpstr>Stock</vt:lpstr>
      <vt:lpstr>Stock Transfer</vt:lpstr>
      <vt:lpstr>Last Date</vt:lpstr>
      <vt:lpstr>Open PO</vt:lpstr>
      <vt:lpstr>MASTERDATA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Passebecq  Ghanty</dc:creator>
  <cp:lastModifiedBy>Julian Passebecq  Ghanty</cp:lastModifiedBy>
  <dcterms:created xsi:type="dcterms:W3CDTF">2017-09-06T01:59:28Z</dcterms:created>
  <dcterms:modified xsi:type="dcterms:W3CDTF">2017-09-25T08:07:26Z</dcterms:modified>
</cp:coreProperties>
</file>
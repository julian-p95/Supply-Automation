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330" windowWidth="13320" windowHeight="9990" activeTab="2"/>
  </bookViews>
  <sheets>
    <sheet name="Forecast" sheetId="4" r:id="rId1"/>
    <sheet name="Sales" sheetId="5" r:id="rId2"/>
    <sheet name="Open PO" sheetId="9" r:id="rId3"/>
    <sheet name="Open PO Data" sheetId="8" r:id="rId4"/>
    <sheet name="Stock" sheetId="1" r:id="rId5"/>
    <sheet name="Last Date" sheetId="3" r:id="rId6"/>
    <sheet name="Stock Transfer" sheetId="7" r:id="rId7"/>
  </sheets>
  <definedNames>
    <definedName name="_xlnm._FilterDatabase" localSheetId="0" hidden="1">Forecast!$B$1:$P$28655</definedName>
    <definedName name="_xlnm._FilterDatabase" localSheetId="5" hidden="1">'Last Date'!$F$1:$F$2000</definedName>
    <definedName name="_xlnm._FilterDatabase" localSheetId="3" hidden="1">'Open PO Data'!$B$1:$AQ$184</definedName>
    <definedName name="_xlnm._FilterDatabase" localSheetId="1" hidden="1">Sales!$B$1:$AP$109209</definedName>
    <definedName name="_xlnm._FilterDatabase" localSheetId="4" hidden="1">Stock!$B$1:$T$807</definedName>
    <definedName name="_xlnm._FilterDatabase" localSheetId="6" hidden="1">'Stock Transfer'!$B$1:$Q$592</definedName>
  </definedNames>
  <calcPr calcId="144525"/>
  <pivotCaches>
    <pivotCache cacheId="65" r:id="rId8"/>
    <pivotCache cacheId="69" r:id="rId9"/>
    <pivotCache cacheId="72" r:id="rId10"/>
    <pivotCache cacheId="75" r:id="rId11"/>
    <pivotCache cacheId="80" r:id="rId12"/>
  </pivotCaches>
</workbook>
</file>

<file path=xl/calcChain.xml><?xml version="1.0" encoding="utf-8"?>
<calcChain xmlns="http://schemas.openxmlformats.org/spreadsheetml/2006/main">
  <c r="F2" i="3" l="1"/>
  <c r="Q2" i="1"/>
  <c r="P2" i="1"/>
  <c r="AE2" i="3" l="1"/>
  <c r="BD2" i="3" s="1"/>
  <c r="I2" i="3"/>
  <c r="M2" i="3"/>
  <c r="Q2" i="3"/>
  <c r="U2" i="3"/>
  <c r="Y2" i="3"/>
  <c r="AC2" i="3"/>
  <c r="BB2" i="3" s="1"/>
  <c r="J2" i="3"/>
  <c r="N2" i="3"/>
  <c r="R2" i="3"/>
  <c r="V2" i="3"/>
  <c r="Z2" i="3"/>
  <c r="AD2" i="3"/>
  <c r="K2" i="3"/>
  <c r="AJ2" i="3" s="1"/>
  <c r="O2" i="3"/>
  <c r="AN2" i="3" s="1"/>
  <c r="S2" i="3"/>
  <c r="AR2" i="3" s="1"/>
  <c r="W2" i="3"/>
  <c r="AV2" i="3" s="1"/>
  <c r="AA2" i="3"/>
  <c r="H2" i="3"/>
  <c r="L2" i="3"/>
  <c r="P2" i="3"/>
  <c r="T2" i="3"/>
  <c r="X2" i="3"/>
  <c r="AB2" i="3"/>
  <c r="R2" i="1"/>
  <c r="S2" i="1" s="1"/>
  <c r="AL2" i="3"/>
  <c r="AZ2" i="3"/>
  <c r="AX2" i="3" l="1"/>
  <c r="AH2" i="3"/>
  <c r="AQ2" i="3"/>
  <c r="AO2" i="3"/>
  <c r="AM2" i="3"/>
  <c r="AK2" i="3"/>
  <c r="BC2" i="3"/>
  <c r="AT2" i="3"/>
  <c r="BA2" i="3"/>
  <c r="AY2" i="3"/>
  <c r="AI2" i="3"/>
  <c r="AP2" i="3"/>
  <c r="AW2" i="3"/>
  <c r="AG2" i="3"/>
  <c r="AU2" i="3"/>
  <c r="AS2" i="3"/>
  <c r="T2" i="1"/>
</calcChain>
</file>

<file path=xl/sharedStrings.xml><?xml version="1.0" encoding="utf-8"?>
<sst xmlns="http://schemas.openxmlformats.org/spreadsheetml/2006/main" count="2719" uniqueCount="479">
  <si>
    <t>Minimum % Shelf Life</t>
    <phoneticPr fontId="2" type="noConversion"/>
  </si>
  <si>
    <t>Last Date Parameter Month/Month +1</t>
    <phoneticPr fontId="2" type="noConversion"/>
  </si>
  <si>
    <t>Material Number</t>
  </si>
  <si>
    <t>Plant</t>
  </si>
  <si>
    <t>Batch</t>
  </si>
  <si>
    <t>Stor. Location</t>
  </si>
  <si>
    <t>Unrestricted</t>
  </si>
  <si>
    <t>Restricted-Use</t>
  </si>
  <si>
    <t>Blocked</t>
  </si>
  <si>
    <t>In Qual. Insp.</t>
  </si>
  <si>
    <t>Stock in tfr</t>
  </si>
  <si>
    <t>Special Stock</t>
  </si>
  <si>
    <t>Returns</t>
  </si>
  <si>
    <t>Unit of Measure</t>
  </si>
  <si>
    <t>Date of Manuf.</t>
  </si>
  <si>
    <t>SLED/BBD</t>
  </si>
  <si>
    <t>Total SL</t>
    <phoneticPr fontId="2" type="noConversion"/>
  </si>
  <si>
    <t>Remaining SL</t>
    <phoneticPr fontId="2" type="noConversion"/>
  </si>
  <si>
    <t>Percentage</t>
    <phoneticPr fontId="2" type="noConversion"/>
  </si>
  <si>
    <t>Stock</t>
  </si>
  <si>
    <t>Used</t>
  </si>
  <si>
    <t>Row Labels</t>
  </si>
  <si>
    <t>(blank)</t>
  </si>
  <si>
    <t>Grand Total</t>
  </si>
  <si>
    <t>Sum of Stock</t>
  </si>
  <si>
    <t>LAST DATE TEMP</t>
  </si>
  <si>
    <t>Material No.</t>
  </si>
  <si>
    <t>Material Description</t>
  </si>
  <si>
    <t>BU</t>
  </si>
  <si>
    <t>Sub-BU</t>
  </si>
  <si>
    <t>Aviable date</t>
  </si>
  <si>
    <t>Forecast quantity</t>
  </si>
  <si>
    <t>Base Unit of Measure</t>
  </si>
  <si>
    <t>Forecast weight</t>
  </si>
  <si>
    <t>Net weight</t>
  </si>
  <si>
    <t>Net weight unit</t>
  </si>
  <si>
    <t>Input date</t>
  </si>
  <si>
    <t>Input time</t>
  </si>
  <si>
    <t>Input person</t>
  </si>
  <si>
    <t>SHIPTYPE</t>
  </si>
  <si>
    <t>Column Labels</t>
  </si>
  <si>
    <t>Sum of Forecast quantity</t>
  </si>
  <si>
    <t>Distribute Channel</t>
  </si>
  <si>
    <t>Sale Office</t>
  </si>
  <si>
    <t>Customer Group</t>
  </si>
  <si>
    <t>Business Unit</t>
  </si>
  <si>
    <t>Channel</t>
  </si>
  <si>
    <t>Customer Category</t>
  </si>
  <si>
    <t>Top-Level Account</t>
  </si>
  <si>
    <t>Top-Level Account Ma</t>
  </si>
  <si>
    <t>City</t>
  </si>
  <si>
    <t>Region</t>
  </si>
  <si>
    <t>Customer</t>
  </si>
  <si>
    <t>Customer Name</t>
  </si>
  <si>
    <t>Sale Person</t>
  </si>
  <si>
    <t>AR Checker</t>
  </si>
  <si>
    <t>DN Number</t>
  </si>
  <si>
    <t>Billing No</t>
  </si>
  <si>
    <t>Billing Date</t>
  </si>
  <si>
    <t>Prd Hierarchy 1</t>
  </si>
  <si>
    <t>Prd Hierarchy 2</t>
  </si>
  <si>
    <t>Prd Hierarchy 3</t>
  </si>
  <si>
    <t>Prd Hierarchy 4</t>
  </si>
  <si>
    <t>Material Group</t>
  </si>
  <si>
    <t>Material</t>
  </si>
  <si>
    <t>Material CN</t>
  </si>
  <si>
    <t>Material EN</t>
  </si>
  <si>
    <t>Quantity</t>
  </si>
  <si>
    <t>Qty Uom</t>
  </si>
  <si>
    <t>Sale Amount</t>
  </si>
  <si>
    <t>Currency</t>
  </si>
  <si>
    <t>Sale Net Value</t>
  </si>
  <si>
    <t>Sale Cost</t>
  </si>
  <si>
    <t>Sale Margin</t>
  </si>
  <si>
    <t>Margin Rate(%)</t>
  </si>
  <si>
    <t>Rebate</t>
  </si>
  <si>
    <t>Net Margin</t>
  </si>
  <si>
    <t>Net Margin Rate(%)</t>
  </si>
  <si>
    <t>Year/Month</t>
  </si>
  <si>
    <t>Net Weight</t>
  </si>
  <si>
    <t>Weight Unit</t>
  </si>
  <si>
    <t>Batch Num.</t>
  </si>
  <si>
    <t>Sum of Quantity</t>
  </si>
  <si>
    <t>Name 1</t>
  </si>
  <si>
    <t>Purchasing Document</t>
  </si>
  <si>
    <t>Item</t>
  </si>
  <si>
    <t>Supplying Plant</t>
  </si>
  <si>
    <t>Amount in LC</t>
  </si>
  <si>
    <t>Order Quantity</t>
  </si>
  <si>
    <t>Order Unit</t>
  </si>
  <si>
    <t>Net Order Value</t>
  </si>
  <si>
    <t>Plant Name</t>
  </si>
  <si>
    <t>Purchase Group</t>
  </si>
  <si>
    <t>Vender Code</t>
  </si>
  <si>
    <t>Vender Name</t>
  </si>
  <si>
    <t>PO Num</t>
  </si>
  <si>
    <t>PO Line Num</t>
  </si>
  <si>
    <t>DN Complete</t>
  </si>
  <si>
    <t>Shipping Type</t>
  </si>
  <si>
    <t>Prod Hierarchy 1</t>
  </si>
  <si>
    <t>Prod Hierarchy 2</t>
  </si>
  <si>
    <t>Prod Hierarchy 3</t>
  </si>
  <si>
    <t>Prod Hierarchy 4</t>
  </si>
  <si>
    <t>PO Date</t>
  </si>
  <si>
    <t>ETD</t>
  </si>
  <si>
    <t>ETA</t>
  </si>
  <si>
    <t>GR date</t>
  </si>
  <si>
    <t>PO Quantity</t>
  </si>
  <si>
    <t>PO Qty bas SKU</t>
  </si>
  <si>
    <t>GR Qty</t>
  </si>
  <si>
    <t>GR Uom</t>
  </si>
  <si>
    <t>GR Qty Base SKU</t>
  </si>
  <si>
    <t>Weight Uom</t>
  </si>
  <si>
    <t>Gross Weight</t>
  </si>
  <si>
    <t>Volume</t>
  </si>
  <si>
    <t>Volume Uom</t>
  </si>
  <si>
    <t>Net Amount</t>
  </si>
  <si>
    <t>Import Cost</t>
  </si>
  <si>
    <t>Custom</t>
  </si>
  <si>
    <t>Freight 1</t>
  </si>
  <si>
    <t>F1 Cur</t>
  </si>
  <si>
    <t>Freight 2</t>
  </si>
  <si>
    <t>Sum of PO Quantity</t>
  </si>
  <si>
    <t>Sum of Used</t>
  </si>
  <si>
    <t>VAL0004A</t>
  </si>
  <si>
    <t>VAL0495</t>
  </si>
  <si>
    <t>VAL0083B</t>
  </si>
  <si>
    <t>VAL0001B</t>
  </si>
  <si>
    <t>VAL0002B</t>
  </si>
  <si>
    <t>VAL0005B</t>
  </si>
  <si>
    <t>VAL0006B</t>
  </si>
  <si>
    <t>VAL0012</t>
  </si>
  <si>
    <t>VAL0013C</t>
  </si>
  <si>
    <t>VAL0108</t>
  </si>
  <si>
    <t>VAL0311A</t>
  </si>
  <si>
    <t>VAL0411A</t>
  </si>
  <si>
    <t>VAL0003B</t>
  </si>
  <si>
    <t>VAL0450</t>
  </si>
  <si>
    <t>VAL0485</t>
  </si>
  <si>
    <t>VAL0002C</t>
  </si>
  <si>
    <t>VAL0042</t>
  </si>
  <si>
    <t>VAL0271A</t>
  </si>
  <si>
    <t>VAL0527</t>
  </si>
  <si>
    <t>VAL0046B</t>
  </si>
  <si>
    <t>VAL0219B</t>
  </si>
  <si>
    <t>VAL0526</t>
  </si>
  <si>
    <t>VAL0532</t>
  </si>
  <si>
    <t>VAL0535</t>
  </si>
  <si>
    <t>VAL0536</t>
  </si>
  <si>
    <t>VAL0537</t>
  </si>
  <si>
    <t>VAL0001C</t>
  </si>
  <si>
    <t>VAL0005C</t>
  </si>
  <si>
    <t>VAL0006C</t>
  </si>
  <si>
    <t>VAL0036</t>
  </si>
  <si>
    <t>VAL0054B</t>
  </si>
  <si>
    <t>VAL0077B</t>
  </si>
  <si>
    <t>VAL0084</t>
  </si>
  <si>
    <t>VAL0107B</t>
  </si>
  <si>
    <t>VAL0123</t>
  </si>
  <si>
    <t>VAL0124</t>
  </si>
  <si>
    <t>VAL0225</t>
  </si>
  <si>
    <t>VAL0418</t>
  </si>
  <si>
    <t>VAL0433</t>
  </si>
  <si>
    <t>VAL0453</t>
  </si>
  <si>
    <t>VAL0456</t>
  </si>
  <si>
    <t>VAL0457</t>
  </si>
  <si>
    <t>VAL0509</t>
  </si>
  <si>
    <t>VAL0510</t>
  </si>
  <si>
    <t>VAL0511</t>
  </si>
  <si>
    <t>VAL0512</t>
  </si>
  <si>
    <t>VAL0525</t>
  </si>
  <si>
    <t>VAL0530</t>
  </si>
  <si>
    <t>VAL0534</t>
  </si>
  <si>
    <t>VAL0008A</t>
  </si>
  <si>
    <t>VAL0015</t>
  </si>
  <si>
    <t>VAL0017</t>
  </si>
  <si>
    <t>VAL0018</t>
  </si>
  <si>
    <t>VAL0019</t>
  </si>
  <si>
    <t>VAL0023</t>
  </si>
  <si>
    <t>VAL0030</t>
  </si>
  <si>
    <t>VAL0046</t>
  </si>
  <si>
    <t>VAL0062B</t>
  </si>
  <si>
    <t>VAL0069</t>
  </si>
  <si>
    <t>VAL0085A</t>
  </si>
  <si>
    <t>VAL0089</t>
  </si>
  <si>
    <t>VAL0220</t>
  </si>
  <si>
    <t>VAL0227</t>
  </si>
  <si>
    <t>VAL0265A</t>
  </si>
  <si>
    <t>VAL0268</t>
  </si>
  <si>
    <t>VAL0277</t>
  </si>
  <si>
    <t>VAL0279</t>
  </si>
  <si>
    <t>VAL0281A</t>
  </si>
  <si>
    <t>VAL0282</t>
  </si>
  <si>
    <t>VAL0284</t>
  </si>
  <si>
    <t>VAL0286</t>
  </si>
  <si>
    <t>VAL0288A</t>
  </si>
  <si>
    <t>VAL0289</t>
  </si>
  <si>
    <t>VAL0294</t>
  </si>
  <si>
    <t>VAL0296</t>
  </si>
  <si>
    <t>VAL0297</t>
  </si>
  <si>
    <t>VAL0300</t>
  </si>
  <si>
    <t>VAL0389</t>
  </si>
  <si>
    <t>VAL0391A</t>
  </si>
  <si>
    <t>VAL0399</t>
  </si>
  <si>
    <t>VAL0403</t>
  </si>
  <si>
    <t>VAL0408A</t>
  </si>
  <si>
    <t>VAL0460</t>
  </si>
  <si>
    <t>VAL0463</t>
  </si>
  <si>
    <t>VAL0465</t>
  </si>
  <si>
    <t>VAL0468</t>
  </si>
  <si>
    <t>VAL0469</t>
  </si>
  <si>
    <t>VAL0470</t>
  </si>
  <si>
    <t>VAL0473</t>
  </si>
  <si>
    <t>VAL0500A</t>
  </si>
  <si>
    <t>VAL0501A</t>
  </si>
  <si>
    <t>VAL0504A</t>
  </si>
  <si>
    <t>VAL0505A</t>
  </si>
  <si>
    <t>VAL0506A</t>
  </si>
  <si>
    <t>VAL0508A</t>
  </si>
  <si>
    <t>VAL0524</t>
  </si>
  <si>
    <t>VAL0219V</t>
  </si>
  <si>
    <t>Old</t>
    <phoneticPr fontId="2" type="noConversion"/>
  </si>
  <si>
    <t>SINODIS ShangHai</t>
  </si>
  <si>
    <t>Amanda</t>
  </si>
  <si>
    <t>VALRHONA SAS</t>
  </si>
  <si>
    <t>SEA SHIPMENT</t>
  </si>
  <si>
    <t>Pastry</t>
  </si>
  <si>
    <t>Chocolate</t>
  </si>
  <si>
    <t>Service item</t>
  </si>
  <si>
    <t>Cocoa paste</t>
  </si>
  <si>
    <t>Valrhona</t>
  </si>
  <si>
    <t>VALRHONA COCOA PASTE (100%) BLOCK 3KG</t>
  </si>
  <si>
    <t>法芙娜可可酱砖(100%) 3KG</t>
  </si>
  <si>
    <t>2017.07.06</t>
  </si>
  <si>
    <t>EA</t>
  </si>
  <si>
    <t>KG</t>
  </si>
  <si>
    <t>CD3</t>
  </si>
  <si>
    <t>EUR</t>
  </si>
  <si>
    <t>X</t>
  </si>
  <si>
    <t>Couverture</t>
  </si>
  <si>
    <t>Grands Crus</t>
  </si>
  <si>
    <t>VALRHONA BAHIBE (46%) BAG OF FEVES 3KG</t>
  </si>
  <si>
    <t>法芙娜百益贝牛奶巧克力豆（46%) 3公斤</t>
  </si>
  <si>
    <t>Professional Signature</t>
  </si>
  <si>
    <t>EQUA LACTEE 35% BKT OF FEVES 3Kg</t>
  </si>
  <si>
    <t>法芙娜阨瓜多尔牛奶巧克力豆3KG</t>
  </si>
  <si>
    <t>Katrina WANG</t>
  </si>
  <si>
    <t>sea shipment</t>
  </si>
  <si>
    <t>GUANAJA 70% BKTS OF FEVES 3Kg</t>
  </si>
  <si>
    <t>法芙娜圭那亚巧克力豆（70％）3KG</t>
  </si>
  <si>
    <t>2017.08.07</t>
  </si>
  <si>
    <t>CARAIBE 66% BKTS OF FEVES 3Kg</t>
  </si>
  <si>
    <t>法芙娜加勒比巧克力豆（66％）3KG</t>
  </si>
  <si>
    <t>JIVARA LACTEE 40% BKTS OF FEVES 3Kg</t>
  </si>
  <si>
    <t>法芙娜吉瓦那巧克力豆(40％)3KG</t>
  </si>
  <si>
    <t>Gourmet Creation</t>
  </si>
  <si>
    <t>IVOIRE WHT CHOCS BKTS OF FEVES 3Kg</t>
  </si>
  <si>
    <t>法芙娜白色巧克力豆 3KG</t>
  </si>
  <si>
    <t>Cocoa powder</t>
  </si>
  <si>
    <t>VALRHONA COCOA POWDER 3KG/BOX</t>
  </si>
  <si>
    <t>法芙娜可可粉（100％）3KG/盒</t>
  </si>
  <si>
    <t>Nuts</t>
  </si>
  <si>
    <t>Paste</t>
  </si>
  <si>
    <t>Praline</t>
  </si>
  <si>
    <t>VALRHONA HAZELNUTS PRALINE(60%) 5KG</t>
  </si>
  <si>
    <t>法芙娜榛果酱(60%) 5KG/桶</t>
  </si>
  <si>
    <t>Filling</t>
  </si>
  <si>
    <t>Drops</t>
  </si>
  <si>
    <t>VALRHONA CRUNCHY PEARLS 3KG</t>
  </si>
  <si>
    <t>法芙娜香脆珍珠形巧克力制品</t>
  </si>
  <si>
    <t>SAT DRK 62% BOX FEVES 12Kg</t>
  </si>
  <si>
    <t>法芙娜萨蒂利亚黑巧克力12KG（62％）</t>
  </si>
  <si>
    <t>SINODIS BeiJing</t>
  </si>
  <si>
    <t>air shipment</t>
  </si>
  <si>
    <t>Candy</t>
  </si>
  <si>
    <t>Gift Box</t>
  </si>
  <si>
    <t>ALMOND HAZELNUT DARK, MILK &amp; DULCEY CHOC</t>
  </si>
  <si>
    <t>法芙娜什锦杏仁榛子夹心巧克力糖150克</t>
  </si>
  <si>
    <t>2017.08.26</t>
  </si>
  <si>
    <t>KAR</t>
  </si>
  <si>
    <t>EQUA NOIR 55% BKTS OF FEVES 3Kg</t>
  </si>
  <si>
    <t>法芙娜阨瓜多爾巧克力豆（55％）3KG</t>
  </si>
  <si>
    <t>VALRHONA OPALYS 33% WHITE CHOCOLATE BAG</t>
  </si>
  <si>
    <t>法芙娜白巧克力豆（33%）3KG</t>
  </si>
  <si>
    <t>Bars</t>
  </si>
  <si>
    <t>VALRHONA HOME COOKING COCOA POWDER 100%</t>
  </si>
  <si>
    <t>法芙娜可可粉(100%)250克</t>
  </si>
  <si>
    <t>2017.09.16</t>
  </si>
  <si>
    <t>CARAIBE 66% BKTS OF FEVES 1Kg</t>
  </si>
  <si>
    <t>法芙娜加勒比巧克力豆（66%）1公斤</t>
  </si>
  <si>
    <t>Service items</t>
  </si>
  <si>
    <t>Glaze</t>
  </si>
  <si>
    <t>Neutral</t>
  </si>
  <si>
    <t>ABSOLU CRISTAL NEUTRAL GLAZE 5Kg</t>
  </si>
  <si>
    <t>法芙娜钻石镜面淋酱(流质糖果）</t>
  </si>
  <si>
    <t>Block of Xocoline 65% Sugars-free 3KG</t>
  </si>
  <si>
    <t>佐克林无糖巧克力65％3KG</t>
  </si>
  <si>
    <t>VALRHONA THE PENINSULA BEIJING 66% BLOC</t>
  </si>
  <si>
    <t>北京王府半岛巧克力（66%）3公斤</t>
  </si>
  <si>
    <t>2017.09.23</t>
  </si>
  <si>
    <t>Jeffrey Sheng</t>
  </si>
  <si>
    <t>Air Shipment</t>
  </si>
  <si>
    <t>Individually wrapped</t>
  </si>
  <si>
    <t>Loose</t>
  </si>
  <si>
    <t>VALRHONA PERSONALIZABLE CARA#BE CARRE 1-</t>
  </si>
  <si>
    <t>法芙娜加勒比黑巧克力块1-2色（北京丽思卡尔顿定制）1千克</t>
  </si>
  <si>
    <t>2017.09.11</t>
  </si>
  <si>
    <t>Personalized</t>
  </si>
  <si>
    <t>VALRHONA PERSONALIZABLE JIVARA CARRE 1-2</t>
  </si>
  <si>
    <t>法芙娜吉瓦娜牛奶巧克力块1-2色（北京丽思卡尔顿定制）1千克</t>
  </si>
  <si>
    <t>VALRHONA PRALINE NOISETTE 66% FRUITE 5KG</t>
  </si>
  <si>
    <t>法芙娜扁桃仁榛果酱</t>
  </si>
  <si>
    <t>Service</t>
  </si>
  <si>
    <t>VALRHONA Cuvee Bali 68% BLOC 1KG</t>
  </si>
  <si>
    <t>法芙娜巴厘岛甄选巧克力砖 (68%) |1公斤</t>
  </si>
  <si>
    <t>VALRHONA Orelys 35% FEVE | 3KG</t>
  </si>
  <si>
    <t>法芙娜欧瑞利斯豆型白巧克力制品（35%）|3公斤</t>
  </si>
  <si>
    <t>Flavors and Extracts</t>
  </si>
  <si>
    <t>Flavor</t>
  </si>
  <si>
    <t>Valrhona PRALINE PISTACHE 42% FRUITE | 5</t>
  </si>
  <si>
    <t>法芙娜扁桃仁开心果酱|5公斤</t>
  </si>
  <si>
    <t>Valrhona PRALINE PECAN 50% FRUITE | 5KG</t>
  </si>
  <si>
    <t>法芙娜碧根果酱|5公斤</t>
  </si>
  <si>
    <t>GUANAJA 70% BKTS OF FEVES 1Kg</t>
  </si>
  <si>
    <t>法芙娜圭那亚巧克力豆（70%）1公斤</t>
  </si>
  <si>
    <t>JIVARA LACTEE 40% BKTS OF FEVES 1Kg</t>
  </si>
  <si>
    <t>法芙娜吉瓦那牛奶巧克力豆（40%）1公斤</t>
  </si>
  <si>
    <t>IVOIRE WHT CHOCS BKTS OF FEVES 1Kg</t>
  </si>
  <si>
    <t>法芙娜白巧克力豆#（35%）1公斤</t>
  </si>
  <si>
    <t>VALRHONA MANJARI SQUARES (200X5GM)/BOX</t>
  </si>
  <si>
    <t>法芙娜曼特尼巧克力200X5GM</t>
  </si>
  <si>
    <t>MANJARI 64% BUCKETS OF FEVES 3Kg</t>
  </si>
  <si>
    <t>法芙娜曼特尼巧克力豆(64%) 3KG</t>
  </si>
  <si>
    <t>TANARIVA LACTEE 33% BKT OF FEVES 3Kg</t>
  </si>
  <si>
    <t>法芙娜塔那里瓦牛奶巧克力豆（33%）</t>
  </si>
  <si>
    <t>VALRHONA DARK CHOCOLATE PEARLS 4KG</t>
  </si>
  <si>
    <t>法芙娜黑巧克力珠 4KG</t>
  </si>
  <si>
    <t>ARAgUANI BKTS OF FEVES 72% 3Kg</t>
  </si>
  <si>
    <t>法芙娜阿拉瓜尼巧克力豆(72%) 3KG</t>
  </si>
  <si>
    <t>VALRHONA TAINORI (64%) BAG OF FEVES 3 KG</t>
  </si>
  <si>
    <t>法芙娜塔诺丽巧克力豆（64%）3公斤</t>
  </si>
  <si>
    <t>VALRHONA BAG OF FEVES ABINAO 85% 3KG</t>
  </si>
  <si>
    <t>法芙娜阿比纳巧克力豆（85%）3公斤</t>
  </si>
  <si>
    <t>SQUARES gR&amp; CRU GUANAJA 70% 200*5g</t>
  </si>
  <si>
    <t>法芙娜圭那亚苦味黑巧克力块 5GM</t>
  </si>
  <si>
    <t>VALRHONA CARAMELIA (36%) BAG OF FEVES 3</t>
  </si>
  <si>
    <t>法芙娜焦糖巧克力豆36% 3公斤</t>
  </si>
  <si>
    <t>VALRHONA P125 COEUR DE GUANAJA 1 KG</t>
  </si>
  <si>
    <t>法芙娜圭那亚特浓巧克力豆（80%）1公斤</t>
  </si>
  <si>
    <t>VALRHONA CARAQUE (56%) BLOCK 3 KG</t>
  </si>
  <si>
    <t>法芙娜卡拉克巧克力砖 （56%） 3公斤</t>
  </si>
  <si>
    <t>VALRHONA MACAE (62%) BAG OF FEVES 3KG</t>
  </si>
  <si>
    <t>法芙娜马卡埃巧克力豆 (62%) 3公斤</t>
  </si>
  <si>
    <t>VALRHONA DULCEY (32%) BAG OF FEVES 3KG</t>
  </si>
  <si>
    <t>法芙娜度思巧克力豆 (32%) 3公斤</t>
  </si>
  <si>
    <t>VALRHONA PERLES CRAQUANTES CARAMELIA 36%</t>
  </si>
  <si>
    <t>法芙娜香脆珍珠形焦糖牛奶巧克力 36% 3千克</t>
  </si>
  <si>
    <t>VALRHONA PERLES CRAQUANTES DULCEY 35% 3</t>
  </si>
  <si>
    <t>法芙娜度思香脆珍珠形巧克力 35% 3千克</t>
  </si>
  <si>
    <t>VALRHONA PERLES CRAQUANTES OPALYS 34% 3</t>
  </si>
  <si>
    <t>法芙娜香脆珍珠形白巧克力 34% 3千克</t>
  </si>
  <si>
    <t>VALRHONA NYANGBO 68% FEVE 3KG</t>
  </si>
  <si>
    <t>法芙娜昵安菠黑巧克力豆 68% 3千克</t>
  </si>
  <si>
    <t>VALRHONA TROPILIA BLANCHE 26%</t>
  </si>
  <si>
    <t>法芙娜托比利亚块状白巧克力</t>
  </si>
  <si>
    <t>VALRHONA Itakuja 55% FEVE 3KG</t>
  </si>
  <si>
    <t>法芙娜艺塔酷嘉黑巧克力豆 (55%) 3公斤</t>
  </si>
  <si>
    <t>VALRHONA KIDAVOA 50% FEVE | 3KG</t>
  </si>
  <si>
    <t>法芙娜科达芙卡牛奶巧克力（50%）| 3公斤</t>
  </si>
  <si>
    <t>VALRHONA PATE A GLACER NOIRE 10 KG</t>
  </si>
  <si>
    <t>法芙娜黑色巧克力片（淋面用） 10千克</t>
  </si>
  <si>
    <t>2017.10.17</t>
  </si>
  <si>
    <t>Almond</t>
  </si>
  <si>
    <t>VALRHONA ALMONDS PASTES(50%) 4KG/TUB</t>
  </si>
  <si>
    <t>法芙娜扁桃仁膏(50%) 4千克</t>
  </si>
  <si>
    <t>Garnish shell</t>
  </si>
  <si>
    <t>Balls</t>
  </si>
  <si>
    <t>DRK CHOCS BALL 504PC/CTN 1.3Kg</t>
  </si>
  <si>
    <t>法芙娜黑巧克力空心球 504PC/盒</t>
  </si>
  <si>
    <t>MLK CHOCS BALLS 504PC/CTN 1.3Kg</t>
  </si>
  <si>
    <t>法芙娜牛奶巧克力空心球 504PC/盒</t>
  </si>
  <si>
    <t>WHT CHOCS BALLS 504PC/CTN 1.3Kg</t>
  </si>
  <si>
    <t>法芙娜白巧克力空心球 504PC/盒</t>
  </si>
  <si>
    <t>Cups</t>
  </si>
  <si>
    <t>MIDI-PYRIS 55% SMALL CAKES 270p</t>
  </si>
  <si>
    <t>法芙娜黑巧克力中型方碗270PC</t>
  </si>
  <si>
    <t>MIDI-OIS 55% SML CAKE 270p</t>
  </si>
  <si>
    <t>法芙娜黑巧克力中型椭圆碗270PC</t>
  </si>
  <si>
    <t>VALRHONA SQUARES GRAND CRU CARAIBE200×5G</t>
  </si>
  <si>
    <t>法芙娜加勒比巧克力（±200×5克）/箱</t>
  </si>
  <si>
    <t>Drink</t>
  </si>
  <si>
    <t>CELAYA CHOC CHAUD BRIQUE 6*1L</t>
  </si>
  <si>
    <t>法芙娜巧克力饮品 6*1L</t>
  </si>
  <si>
    <t>Icing</t>
  </si>
  <si>
    <t>ABSOLU GLAZINg 39% DRK CHOCS POT 1Kg</t>
  </si>
  <si>
    <t>法芙娜黑钻石镜面淋酱 1KG</t>
  </si>
  <si>
    <t>VALRHONA SENSATION CHAPKA LAIT 120PC</t>
  </si>
  <si>
    <t>法芙娜牛奶巧克力（120颗）</t>
  </si>
  <si>
    <t>VALRHONA FANTAISIES GRAIN DE CAFE BT 1KG</t>
  </si>
  <si>
    <t>法芙娜咖啡巧克力豆 1KG</t>
  </si>
  <si>
    <t>ECLAT NOIR DE VALRHONA BOITE 1 KG</t>
  </si>
  <si>
    <t>法芙娜黑巧克力棒 1KG</t>
  </si>
  <si>
    <t>VALRHONA Creme 2KG</t>
  </si>
  <si>
    <t>法芙娜咖啡奶油巧克力 2公斤</t>
  </si>
  <si>
    <t>VALRHONA SENSATION GANACHE CARAIBE 120PC</t>
  </si>
  <si>
    <t>法芙娜加勒比风味黑巧克力（120颗）</t>
  </si>
  <si>
    <t>VALRHONA Menthe Vive 2KG</t>
  </si>
  <si>
    <t>法芙娜薄荷黑巧克力 2公斤</t>
  </si>
  <si>
    <t>VALRHONA Douce Amande 2KG</t>
  </si>
  <si>
    <t>法芙娜甜扁桃仁味牛奶巧克力 2千克</t>
  </si>
  <si>
    <t>VALRHONA COEUR JIVARA 2KG</t>
  </si>
  <si>
    <t>法芙娜焦糖香草牛奶巧克力 2公斤</t>
  </si>
  <si>
    <t>VALRHONA SENSATION MILLEFEUILLE 120PC</t>
  </si>
  <si>
    <t>法芙娜波旁香草味白巧克力（120颗）</t>
  </si>
  <si>
    <t>VALRHONA Granite Framboise Litch 2KG</t>
  </si>
  <si>
    <t>法芙娜莓肉荔枝巧克力 2公斤</t>
  </si>
  <si>
    <t>VALRHONA Ivoire Cassis 2KG</t>
  </si>
  <si>
    <t>法芙娜黑加仑子白巧克力 2公斤</t>
  </si>
  <si>
    <t>VALRHONA Pralifeuillete Lait 2KG</t>
  </si>
  <si>
    <t>法芙娜脆饼牛奶巧克力 2千克</t>
  </si>
  <si>
    <t>VALRHONA SENSATION CARAFRUTTI COCO 120PC</t>
  </si>
  <si>
    <t>法芙娜椰子味巧克力（120颗）</t>
  </si>
  <si>
    <t>VALRHONA Carafrutti Abricot 2KG</t>
  </si>
  <si>
    <t>法芙娜杏果牛奶巧克力制品|2公斤</t>
  </si>
  <si>
    <t>VALRHONA Gianduja Citron 2KG</t>
  </si>
  <si>
    <t>法芙娜伊昂度佳柠檬巧克力 2公斤</t>
  </si>
  <si>
    <t>VALRHONA Rinette Lait 2KG</t>
  </si>
  <si>
    <t>法芙娜里奈特牛奶巧克力 2千克</t>
  </si>
  <si>
    <t>VALRHONA Greta Lait 2KG</t>
  </si>
  <si>
    <t>法芙娜格里塔牛奶巧克力 2千克</t>
  </si>
  <si>
    <t>VALRHONA Greta Noir 2KG</t>
  </si>
  <si>
    <t>法芙娜格里塔黑巧克力 2千克</t>
  </si>
  <si>
    <t>Milk</t>
  </si>
  <si>
    <t>Valrhona Eclat Lacte 1KG</t>
  </si>
  <si>
    <t>法芙娜牛奶巧克力棒1KG</t>
  </si>
  <si>
    <t>VALRHONA SENSATION CHAPKA NOIR 120PC</t>
  </si>
  <si>
    <t>法芙娜浓味巧克力（120颗）</t>
  </si>
  <si>
    <t>VALRHONA Granite Grue 2KG</t>
  </si>
  <si>
    <t>法芙娜花岗岩型巧克力糖 2公斤</t>
  </si>
  <si>
    <t>Gift box</t>
  </si>
  <si>
    <t>EQUI MLK/DRK ALMONDS &amp; H'NUTS BOX 250g</t>
  </si>
  <si>
    <t>法芙娜杏仁榛子夹心什锦巧克力糖250克*8</t>
  </si>
  <si>
    <t>VALRHONA EQUINOXE CRUNCHY PEARLS PACK 60</t>
  </si>
  <si>
    <t>法芙娜非沃香脆珍珠黑巧克力60克</t>
  </si>
  <si>
    <t>VALRHONA GUANAJA (70%) 70 GM BAR</t>
  </si>
  <si>
    <t>法芙娜圭那亚苦味黑巧克力(70%)条 70克</t>
  </si>
  <si>
    <t>VALRHONA MANJARI (64%) 70 GM BAR</t>
  </si>
  <si>
    <t>法芙娜曼特尼巧克力(64%)条70克</t>
  </si>
  <si>
    <t>VALRHONA TANARIVA MILK (33%) 70 GM BAR</t>
  </si>
  <si>
    <t>法芙娜牛奶巧克力(33%)条70克</t>
  </si>
  <si>
    <t>VALRHONA CARAIBE (66%) 20 GM / STICK</t>
  </si>
  <si>
    <t>法芙娜加勒比巧克力条20克</t>
  </si>
  <si>
    <t>VALRHONA JIVARA MILK (40%) 20 GM STICK</t>
  </si>
  <si>
    <t>法芙娜吉瓦那牛奶巧克力条 20克</t>
  </si>
  <si>
    <t>VALRHONA GUANAJA (70%) 20 GM STICK</t>
  </si>
  <si>
    <t>法芙娜圭那亚巧克力条（70%）20克</t>
  </si>
  <si>
    <t>VALRHONA CARAIBE HAZELNUT 85 GM BAR</t>
  </si>
  <si>
    <t>法芙娜加勒比榛果巧克力条85克</t>
  </si>
  <si>
    <t>VALRHONA SENSATION CARAMEL SALE LAIT 120</t>
  </si>
  <si>
    <t>法芙娜奶油焦糖味巧克力（120颗）</t>
  </si>
  <si>
    <t>VALRHONA SENSATION CARAFRUTTI POIRE 120P</t>
  </si>
  <si>
    <t>法芙娜香梨味巧克力（120颗）</t>
  </si>
  <si>
    <t>VALRHONA SENSATION PRALINE INTENSE IVOIR</t>
  </si>
  <si>
    <t>法芙娜混合果仁夹心巧克力（120颗）</t>
  </si>
  <si>
    <t>VALRHONA SENSATION GANACHE THE JASMIN 12</t>
  </si>
  <si>
    <t>法芙娜花茶味巧克力（120颗）</t>
  </si>
  <si>
    <t>VALRHONA SENSATION CAFE NOIR 120PC</t>
  </si>
  <si>
    <t>法芙娜咖啡味巧克力（120颗）</t>
  </si>
  <si>
    <t>VALRHONA PETIT DELICE TIRAMISU 120PC</t>
  </si>
  <si>
    <t>法芙娜提拉米苏味巧克力（120颗）</t>
  </si>
  <si>
    <t>Gianduja</t>
  </si>
  <si>
    <t>VALRHONA MILK CHOCOLATE HAZELNUT GIANDU</t>
  </si>
  <si>
    <t>法芙娜榛果夹心牛奶巧克力砖</t>
  </si>
  <si>
    <t>VALRHONA PERSONALIZED JIVARA SQUARES for</t>
  </si>
  <si>
    <t>法芙娜吉瓦那牛奶巧克力块（40%）（梵克雅宝定制）</t>
  </si>
  <si>
    <t>2017.10.07</t>
  </si>
  <si>
    <t>Po</t>
    <phoneticPr fontId="2" type="noConversion"/>
  </si>
  <si>
    <t>SKU</t>
    <phoneticPr fontId="2" type="noConversion"/>
  </si>
  <si>
    <t>Custom Clearance Days Lead Time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</si>
</sst>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.000"/>
    <numFmt numFmtId="177" formatCode="[$-F400]h:mm:ss\ AM/PM"/>
    <numFmt numFmtId="178" formatCode="0_ "/>
    <numFmt numFmtId="179" formatCode="[$-409]mmm\-yy;@"/>
  </numFmts>
  <fonts count="12" x14ac:knownFonts="1">
    <font>
      <sz val="11"/>
      <color theme="1"/>
      <name val="宋体"/>
      <family val="2"/>
      <charset val="134"/>
      <scheme val="minor"/>
    </font>
    <font>
      <b/>
      <sz val="11"/>
      <color theme="1"/>
      <name val="Calibri"/>
      <family val="2"/>
    </font>
    <font>
      <sz val="9"/>
      <name val="宋体"/>
      <family val="2"/>
      <charset val="134"/>
      <scheme val="minor"/>
    </font>
    <font>
      <sz val="11"/>
      <color theme="1"/>
      <name val="Calibri"/>
      <family val="2"/>
    </font>
    <font>
      <b/>
      <u/>
      <sz val="9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6"/>
      <color theme="0"/>
      <name val="Calibri"/>
      <family val="2"/>
    </font>
    <font>
      <b/>
      <sz val="16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769DCC"/>
        <bgColor theme="4"/>
      </patternFill>
    </fill>
    <fill>
      <patternFill patternType="solid">
        <fgColor rgb="FFFFFF00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/>
    <xf numFmtId="0" fontId="7" fillId="0" borderId="0"/>
    <xf numFmtId="0" fontId="8" fillId="0" borderId="0"/>
  </cellStyleXfs>
  <cellXfs count="29">
    <xf numFmtId="0" fontId="0" fillId="0" borderId="0" xfId="0">
      <alignment vertical="center"/>
    </xf>
    <xf numFmtId="0" fontId="1" fillId="0" borderId="1" xfId="0" applyFont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6" fontId="0" fillId="0" borderId="0" xfId="0" applyNumberFormat="1" applyAlignment="1">
      <alignment horizontal="right" vertical="top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177" fontId="0" fillId="0" borderId="0" xfId="0" applyNumberFormat="1" applyAlignment="1">
      <alignment horizontal="right" vertical="top"/>
    </xf>
    <xf numFmtId="0" fontId="5" fillId="0" borderId="0" xfId="1"/>
    <xf numFmtId="4" fontId="0" fillId="0" borderId="0" xfId="0" applyNumberFormat="1" applyAlignment="1">
      <alignment horizontal="right" vertical="top"/>
    </xf>
    <xf numFmtId="0" fontId="5" fillId="0" borderId="0" xfId="1"/>
    <xf numFmtId="0" fontId="5" fillId="0" borderId="0" xfId="1"/>
    <xf numFmtId="178" fontId="0" fillId="0" borderId="0" xfId="0" applyNumberFormat="1">
      <alignment vertical="center"/>
    </xf>
    <xf numFmtId="0" fontId="8" fillId="0" borderId="0" xfId="3"/>
    <xf numFmtId="0" fontId="9" fillId="3" borderId="2" xfId="0" applyFont="1" applyFill="1" applyBorder="1">
      <alignment vertical="center"/>
    </xf>
    <xf numFmtId="0" fontId="5" fillId="0" borderId="0" xfId="1"/>
    <xf numFmtId="14" fontId="5" fillId="0" borderId="0" xfId="1" applyNumberFormat="1"/>
    <xf numFmtId="179" fontId="10" fillId="4" borderId="3" xfId="0" applyNumberFormat="1" applyFont="1" applyFill="1" applyBorder="1" applyAlignment="1" applyProtection="1">
      <alignment horizontal="center" vertical="center"/>
      <protection hidden="1"/>
    </xf>
    <xf numFmtId="179" fontId="11" fillId="5" borderId="3" xfId="0" applyNumberFormat="1" applyFont="1" applyFill="1" applyBorder="1" applyAlignment="1" applyProtection="1">
      <alignment horizontal="center" vertical="center"/>
      <protection hidden="1"/>
    </xf>
    <xf numFmtId="179" fontId="11" fillId="5" borderId="4" xfId="0" applyNumberFormat="1" applyFont="1" applyFill="1" applyBorder="1" applyAlignment="1" applyProtection="1">
      <alignment horizontal="center" vertical="center"/>
      <protection hidden="1"/>
    </xf>
  </cellXfs>
  <cellStyles count="4">
    <cellStyle name="Normal" xfId="0" builtinId="0"/>
    <cellStyle name="Normal 2" xfId="1"/>
    <cellStyle name="Normal 3" xfId="2"/>
    <cellStyle name="Normal 4" xfId="3"/>
  </cellStyles>
  <dxfs count="2">
    <dxf>
      <font>
        <color auto="1"/>
      </font>
      <fill>
        <patternFill>
          <bgColor rgb="FFA5EBAC"/>
        </patternFill>
      </fill>
    </dxf>
    <dxf>
      <font>
        <b/>
        <i val="0"/>
        <color theme="0"/>
      </font>
      <fill>
        <patternFill>
          <bgColor rgb="FFFF616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0</xdr:row>
          <xdr:rowOff>42863</xdr:rowOff>
        </xdr:from>
        <xdr:to>
          <xdr:col>0</xdr:col>
          <xdr:colOff>614363</xdr:colOff>
          <xdr:row>0</xdr:row>
          <xdr:rowOff>442913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4763</xdr:rowOff>
        </xdr:from>
        <xdr:to>
          <xdr:col>0</xdr:col>
          <xdr:colOff>576263</xdr:colOff>
          <xdr:row>1</xdr:row>
          <xdr:rowOff>223838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61913</xdr:colOff>
          <xdr:row>0</xdr:row>
          <xdr:rowOff>33338</xdr:rowOff>
        </xdr:from>
        <xdr:to>
          <xdr:col>0</xdr:col>
          <xdr:colOff>642938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52388</xdr:colOff>
          <xdr:row>1</xdr:row>
          <xdr:rowOff>47625</xdr:rowOff>
        </xdr:from>
        <xdr:to>
          <xdr:col>0</xdr:col>
          <xdr:colOff>619125</xdr:colOff>
          <xdr:row>2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</xdr:colOff>
          <xdr:row>7</xdr:row>
          <xdr:rowOff>23811</xdr:rowOff>
        </xdr:from>
        <xdr:to>
          <xdr:col>0</xdr:col>
          <xdr:colOff>638176</xdr:colOff>
          <xdr:row>8</xdr:row>
          <xdr:rowOff>47624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157163</xdr:rowOff>
        </xdr:from>
        <xdr:to>
          <xdr:col>0</xdr:col>
          <xdr:colOff>571500</xdr:colOff>
          <xdr:row>7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0</xdr:row>
          <xdr:rowOff>28575</xdr:rowOff>
        </xdr:from>
        <xdr:to>
          <xdr:col>1</xdr:col>
          <xdr:colOff>9525</xdr:colOff>
          <xdr:row>0</xdr:row>
          <xdr:rowOff>242888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14288</xdr:colOff>
          <xdr:row>1</xdr:row>
          <xdr:rowOff>33338</xdr:rowOff>
        </xdr:from>
        <xdr:to>
          <xdr:col>1</xdr:col>
          <xdr:colOff>0</xdr:colOff>
          <xdr:row>1</xdr:row>
          <xdr:rowOff>266700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52388</xdr:colOff>
          <xdr:row>0</xdr:row>
          <xdr:rowOff>23813</xdr:rowOff>
        </xdr:from>
        <xdr:to>
          <xdr:col>0</xdr:col>
          <xdr:colOff>595313</xdr:colOff>
          <xdr:row>0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4763</xdr:colOff>
          <xdr:row>1</xdr:row>
          <xdr:rowOff>0</xdr:rowOff>
        </xdr:from>
        <xdr:to>
          <xdr:col>0</xdr:col>
          <xdr:colOff>619125</xdr:colOff>
          <xdr:row>1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47625</xdr:rowOff>
        </xdr:from>
        <xdr:to>
          <xdr:col>0</xdr:col>
          <xdr:colOff>581025</xdr:colOff>
          <xdr:row>0</xdr:row>
          <xdr:rowOff>404813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0</xdr:rowOff>
        </xdr:from>
        <xdr:to>
          <xdr:col>0</xdr:col>
          <xdr:colOff>561975</xdr:colOff>
          <xdr:row>1</xdr:row>
          <xdr:rowOff>157163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lian Passebecq  Ghanty" refreshedDate="43003.670022685183" createdVersion="4" refreshedVersion="4" minRefreshableVersion="3" recordCount="4">
  <cacheSource type="worksheet">
    <worksheetSource ref="B1:AP1048576" sheet="Sales"/>
  </cacheSource>
  <cacheFields count="41">
    <cacheField name="Distribute Channel" numFmtId="0">
      <sharedItems containsNonDate="0" containsString="0" containsBlank="1"/>
    </cacheField>
    <cacheField name="Sale Office" numFmtId="0">
      <sharedItems containsNonDate="0" containsString="0" containsBlank="1"/>
    </cacheField>
    <cacheField name="Plant" numFmtId="0">
      <sharedItems containsNonDate="0" containsString="0" containsBlank="1"/>
    </cacheField>
    <cacheField name="Customer Group" numFmtId="0">
      <sharedItems containsNonDate="0" containsString="0" containsBlank="1"/>
    </cacheField>
    <cacheField name="Business Unit" numFmtId="0">
      <sharedItems containsNonDate="0" containsString="0" containsBlank="1"/>
    </cacheField>
    <cacheField name="Channel" numFmtId="0">
      <sharedItems containsNonDate="0" containsString="0" containsBlank="1"/>
    </cacheField>
    <cacheField name="Customer Category" numFmtId="0">
      <sharedItems containsNonDate="0" containsString="0" containsBlank="1"/>
    </cacheField>
    <cacheField name="Top-Level Account" numFmtId="0">
      <sharedItems containsNonDate="0" containsString="0" containsBlank="1"/>
    </cacheField>
    <cacheField name="Top-Level Account Ma" numFmtId="0">
      <sharedItems containsNonDate="0" containsString="0" containsBlank="1"/>
    </cacheField>
    <cacheField name="City" numFmtId="0">
      <sharedItems containsNonDate="0" containsString="0" containsBlank="1"/>
    </cacheField>
    <cacheField name="Region" numFmtId="0">
      <sharedItems containsNonDate="0" containsString="0" containsBlank="1"/>
    </cacheField>
    <cacheField name="Customer" numFmtId="0">
      <sharedItems containsNonDate="0" containsString="0" containsBlank="1"/>
    </cacheField>
    <cacheField name="Customer Name" numFmtId="0">
      <sharedItems containsNonDate="0" containsString="0" containsBlank="1"/>
    </cacheField>
    <cacheField name="Sale Person" numFmtId="0">
      <sharedItems containsNonDate="0" containsString="0" containsBlank="1"/>
    </cacheField>
    <cacheField name="AR Checker" numFmtId="0">
      <sharedItems containsNonDate="0" containsString="0" containsBlank="1"/>
    </cacheField>
    <cacheField name="DN Number" numFmtId="0">
      <sharedItems containsNonDate="0" containsString="0" containsBlank="1"/>
    </cacheField>
    <cacheField name="Billing No" numFmtId="0">
      <sharedItems containsNonDate="0" containsString="0" containsBlank="1"/>
    </cacheField>
    <cacheField name="Billing Date" numFmtId="0">
      <sharedItems containsNonDate="0" containsString="0" containsBlank="1"/>
    </cacheField>
    <cacheField name="Prd Hierarchy 1" numFmtId="0">
      <sharedItems containsNonDate="0" containsString="0" containsBlank="1"/>
    </cacheField>
    <cacheField name="Prd Hierarchy 2" numFmtId="0">
      <sharedItems containsNonDate="0" containsString="0" containsBlank="1"/>
    </cacheField>
    <cacheField name="Prd Hierarchy 3" numFmtId="0">
      <sharedItems containsNonDate="0" containsString="0" containsBlank="1"/>
    </cacheField>
    <cacheField name="Prd Hierarchy 4" numFmtId="0">
      <sharedItems containsNonDate="0" containsString="0" containsBlank="1"/>
    </cacheField>
    <cacheField name="Material Group" numFmtId="0">
      <sharedItems containsNonDate="0" containsString="0" containsBlank="1"/>
    </cacheField>
    <cacheField name="Material" numFmtId="0">
      <sharedItems containsNonDate="0" containsBlank="1" count="233">
        <m/>
        <s v="VAL0467" u="1"/>
        <s v="VAL0408A" u="1"/>
        <s v="VAL0010" u="1"/>
        <s v="VAL0458" u="1"/>
        <s v="VAL0495" u="1"/>
        <s v="VAL0225" u="1"/>
        <s v="VAL0001B" u="1"/>
        <s v="EMM0019SP2" u="1"/>
        <s v="EMM0056SP2" u="1"/>
        <s v="VAL0290" u="1"/>
        <s v="VAL0477" u="1"/>
        <s v="VAL0468" u="1"/>
        <s v="VAL0005C" u="1"/>
        <s v="VAL0409A" u="1"/>
        <s v="VAL0011" u="1"/>
        <s v="VAL0123" u="1"/>
        <s v="VAL0459" u="1"/>
        <s v="VAL0002B" u="1"/>
        <s v="EMM0057SP2" u="1"/>
        <s v="VAL0030" u="1"/>
        <s v="VAL0478" u="1"/>
        <s v="EMM0042SP6" u="1"/>
        <s v="VAL0282" u="1"/>
        <s v="VAL0469" u="1"/>
        <s v="VAL0006C" u="1"/>
        <s v="EMM0056SP3" u="1"/>
        <s v="EMM0001" u="1"/>
        <s v="VAL0012" u="1"/>
        <s v="VAL0124" u="1"/>
        <s v="VAL0227" u="1"/>
        <s v="Material" u="1"/>
        <s v="VAL0003B" u="1"/>
        <s v="VAL0391A" u="1"/>
        <s v="VAL0106" u="1"/>
        <s v="VAL0143" u="1"/>
        <s v="VAL0479" u="1"/>
        <s v="VAL0283" u="1"/>
        <s v="EMM0002" u="1"/>
        <s v="VAL0498" u="1"/>
        <s v="EMM0021" u="1"/>
        <s v="VAL0144" u="1"/>
        <s v="VAL0219" u="1"/>
        <s v="VAL0107B" u="1"/>
        <s v="VAL0219B" u="1"/>
        <s v="VAL0271A" u="1"/>
        <s v="EMM0012" u="1"/>
        <s v="VAL0023" u="1"/>
        <s v="VAL0284" u="1"/>
        <s v="EMM0003" u="1"/>
        <s v="VAL0510" u="1"/>
        <s v="VAL0042" u="1"/>
        <s v="VAL0005B" u="1"/>
        <s v="VAL0281A" u="1"/>
        <s v="EMM0022" u="1"/>
        <s v="VAL0108" u="1"/>
        <s v="VAL0145" u="1"/>
        <s v="VAL0294" u="1"/>
        <s v="VAL0219V" u="1"/>
        <s v="VAL0248" u="1"/>
        <s v="EMM0004" u="1"/>
        <s v="EMM0041" u="1"/>
        <s v="VAL0015" u="1"/>
        <s v="VAL0511" u="1"/>
        <s v="VAL0006B" u="1"/>
        <s v="VAL0109" u="1"/>
        <s v="VAL0530" u="1"/>
        <s v="EMM0051" u="1"/>
        <s v="VAL0286" u="1"/>
        <s v="VAL0062B" u="1"/>
        <s v="EMM0005" u="1"/>
        <s v="EMM0042" u="1"/>
        <s v="VAL0053" u="1"/>
        <s v="VAL0277" u="1"/>
        <s v="VAL0389" u="1"/>
        <s v="VAL0512" u="1"/>
        <s v="VAL0268" u="1"/>
        <s v="VAL0540" u="1"/>
        <s v="VAL0296" u="1"/>
        <s v="EMM0015" u="1"/>
        <s v="VAL0287" u="1"/>
        <s v="VAL0399" u="1"/>
        <s v="VAL0004A" u="1"/>
        <s v="VAL0265A" u="1"/>
        <s v="VAL0500A" u="1"/>
        <s v="EMM0006" u="1"/>
        <s v="VAL0017" u="1"/>
        <s v="VAL0513" u="1"/>
        <s v="VAL0054B" u="1"/>
        <s v="EMM0MIXSP1" u="1"/>
        <s v="VAL0269" u="1"/>
        <s v="EMM0025" u="1"/>
        <s v="VAL0036" u="1"/>
        <s v="VAL0297" u="1"/>
        <s v="VAL0532" u="1"/>
        <s v="EMM0053" u="1"/>
        <s v="VAL0288" u="1"/>
        <s v="VAL0501A" u="1"/>
        <s v="EMM0007" u="1"/>
        <s v="EMM0044" u="1"/>
        <s v="VAL0018" u="1"/>
        <s v="VAL0092" u="1"/>
        <s v="VAL0279" u="1"/>
        <s v="VAL0046" u="1"/>
        <s v="VAL0046B" u="1"/>
        <s v="VAL0061A" u="1"/>
        <s v="VAL0083B" u="1"/>
        <s v="EMM0MIXSP2" u="1"/>
        <s v="EMM0017" u="1"/>
        <s v="EMM0054" u="1"/>
        <s v="VAL0289" u="1"/>
        <s v="VAL0300" u="1"/>
        <s v="VAL0524" u="1"/>
        <s v="VAL0502A" u="1"/>
        <s v="EMM0045" u="1"/>
        <s v="VAL0019" u="1"/>
        <s v="VAL0056" u="1"/>
        <s v="VAL0403" u="1"/>
        <s v="VAL0084" u="1"/>
        <s v="EMM0014A" u="1"/>
        <s v="EMM0021SP1" u="1"/>
        <s v="EMM0027" u="1"/>
        <s v="VAL0299" u="1"/>
        <s v="VAL0534" u="1"/>
        <s v="EMM0055" u="1"/>
        <s v="VAL0450" u="1"/>
        <s v="VAL0525" u="1"/>
        <s v="VAL0503A" u="1"/>
        <s v="VAL0404" u="1"/>
        <s v="EMM0MIXSP3" u="1"/>
        <s v="EMM0037" u="1"/>
        <s v="VAL0048" u="1"/>
        <s v="VAL0507" u="1"/>
        <s v="EMM0015A" u="1"/>
        <s v="EMM0022SP1" u="1"/>
        <s v="EMM0028" u="1"/>
        <s v="VAL0460" u="1"/>
        <s v="VAL0535" u="1"/>
        <s v="EMM0019" u="1"/>
        <s v="EMM0056" u="1"/>
        <s v="EMM0034A" u="1"/>
        <s v="VAL0008A" u="1"/>
        <s v="VAL0504A" u="1"/>
        <s v="EMM0041SP1" u="1"/>
        <s v="VAL0433" u="1"/>
        <s v="VAL0470" u="1"/>
        <s v="EMM0016A" u="1"/>
        <s v="VAL0288A" u="1"/>
        <s v="VAL0418C" u="1"/>
        <s v="VAL0461" u="1"/>
        <s v="VAL0077B" u="1"/>
        <s v="EMM0014SP1" u="1"/>
        <s v="EMM0MIXSP4" u="1"/>
        <s v="EMM0057" u="1"/>
        <s v="VAL0527" u="1"/>
        <s v="EMM0035A" u="1"/>
        <s v="VAL0009A" u="1"/>
        <s v="VAL0505A" u="1"/>
        <s v="EMM0042SP1" u="1"/>
        <s v="VAL0480" u="1"/>
        <s v="VAL0087" u="1"/>
        <s v="VAL0471" u="1"/>
        <s v="VAL0509" u="1"/>
        <s v="EMM0017A" u="1"/>
        <s v="VAL0065A" u="1"/>
        <s v="EMM0041SP2" u="1"/>
        <s v="EMM0015ASP2" u="1"/>
        <s v="VAL0462" u="1"/>
        <s v="VAL0537" u="1"/>
        <s v="EMM0015SP1" u="1"/>
        <s v="EMM0058" u="1"/>
        <s v="VAL0069" u="1"/>
        <s v="VAL0453" u="1"/>
        <s v="VAL0528" u="1"/>
        <s v="VAL0506A" u="1"/>
        <s v="EMM0034ASP2" u="1"/>
        <s v="EMM0049" u="1"/>
        <s v="VAL0097" u="1"/>
        <s v="VAL0220" u="1"/>
        <s v="VAL0481" u="1"/>
        <s v="EMM0014SP2" u="1"/>
        <s v="VAL0472" u="1"/>
        <s v="EMM0018A" u="1"/>
        <s v="VAL0066A" u="1"/>
        <s v="VAL0457C" u="1"/>
        <s v="EMM0042SP2" u="1"/>
        <s v="VAL0351" u="1"/>
        <s v="VAL0463" u="1"/>
        <s v="EMM0059" u="1"/>
        <s v="VAL0230" u="1"/>
        <s v="VAL0529" u="1"/>
        <s v="VAL0085A" u="1"/>
        <s v="EMM0035ASP2" u="1"/>
        <s v="EMMEQU2" u="1"/>
        <s v="VAL0482" u="1"/>
        <s v="VAL0311A" u="1"/>
        <s v="EMM0035SP1" u="1"/>
        <s v="VAL0089" u="1"/>
        <s v="VAL0100" u="1"/>
        <s v="VAL0473" u="1"/>
        <s v="EMM0019A" u="1"/>
        <s v="VAL0464" u="1"/>
        <s v="VAL0539" u="1"/>
        <s v="VAL0001C" u="1"/>
        <s v="EMM0017SP1" u="1"/>
        <s v="VAL0231" u="1"/>
        <s v="VAL0418" u="1"/>
        <s v="VAL0508A" u="1"/>
        <s v="EMM0042SP3" u="1"/>
        <s v="EMMEQU3" u="1"/>
        <s v="VAL0483" u="1"/>
        <s v="VAL0312A" u="1"/>
        <s v="EMM0016SP2" u="1"/>
        <s v="VAL0101" u="1"/>
        <s v="VAL0474" u="1"/>
        <s v="VAL0465" u="1"/>
        <s v="VAL0002C" u="1"/>
        <s v="VAL0406A" u="1"/>
        <s v="VAL0456" u="1"/>
        <s v="VAL0484" u="1"/>
        <s v="EMM0014SP4" u="1"/>
        <s v="EMM0017SP2" u="1"/>
        <s v="EMM0037SP1" u="1"/>
        <s v="VAL0475" u="1"/>
        <s v="VAL0466" u="1"/>
        <s v="VAL0407A" u="1"/>
        <s v="VAL0457" u="1"/>
        <s v="EMMEQU5" u="1"/>
        <s v="VAL0485" u="1"/>
        <s v="EMM0018SP2" u="1"/>
        <s v="EMM0055SP2" u="1"/>
        <s v="VAL0476" u="1"/>
        <s v="VAL0013C" u="1"/>
      </sharedItems>
    </cacheField>
    <cacheField name="Material CN" numFmtId="0">
      <sharedItems containsNonDate="0" containsString="0" containsBlank="1"/>
    </cacheField>
    <cacheField name="Material EN" numFmtId="0">
      <sharedItems containsNonDate="0" containsString="0" containsBlank="1"/>
    </cacheField>
    <cacheField name="Quantity" numFmtId="0">
      <sharedItems containsNonDate="0" containsString="0" containsBlank="1"/>
    </cacheField>
    <cacheField name="Qty Uom" numFmtId="0">
      <sharedItems containsNonDate="0" containsString="0" containsBlank="1"/>
    </cacheField>
    <cacheField name="Sale 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Sale Net Value" numFmtId="0">
      <sharedItems containsNonDate="0" containsString="0" containsBlank="1"/>
    </cacheField>
    <cacheField name="Sale Cost" numFmtId="0">
      <sharedItems containsNonDate="0" containsString="0" containsBlank="1"/>
    </cacheField>
    <cacheField name="Sale Margin" numFmtId="0">
      <sharedItems containsNonDate="0" containsString="0" containsBlank="1"/>
    </cacheField>
    <cacheField name="Margin Rate(%)" numFmtId="0">
      <sharedItems containsNonDate="0" containsString="0" containsBlank="1"/>
    </cacheField>
    <cacheField name="Rebate" numFmtId="0">
      <sharedItems containsNonDate="0" containsString="0" containsBlank="1"/>
    </cacheField>
    <cacheField name="Net Margin" numFmtId="0">
      <sharedItems containsNonDate="0" containsString="0" containsBlank="1"/>
    </cacheField>
    <cacheField name="Net Margin Rate(%)" numFmtId="0">
      <sharedItems containsNonDate="0" containsString="0" containsBlank="1"/>
    </cacheField>
    <cacheField name="Year/Month" numFmtId="0">
      <sharedItems containsNonDate="0" containsString="0" containsBlank="1" containsNumber="1" containsInteger="1" minValue="201701" maxValue="201709" count="10">
        <m/>
        <n v="201708" u="1"/>
        <n v="201709" u="1"/>
        <n v="201701" u="1"/>
        <n v="201702" u="1"/>
        <n v="201703" u="1"/>
        <n v="201704" u="1"/>
        <n v="201705" u="1"/>
        <n v="201706" u="1"/>
        <n v="201707" u="1"/>
      </sharedItems>
    </cacheField>
    <cacheField name="Net Weight" numFmtId="0">
      <sharedItems containsNonDate="0" containsString="0" containsBlank="1"/>
    </cacheField>
    <cacheField name="Weight Unit" numFmtId="0">
      <sharedItems containsNonDate="0" containsString="0" containsBlank="1"/>
    </cacheField>
    <cacheField name="Batch Num.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ulian Passebecq  Ghanty" refreshedDate="43003.670022685183" createdVersion="4" refreshedVersion="4" minRefreshableVersion="3" recordCount="6">
  <cacheSource type="worksheet">
    <worksheetSource ref="B1:P1048576" sheet="Forecast"/>
  </cacheSource>
  <cacheFields count="15">
    <cacheField name="Plant" numFmtId="0">
      <sharedItems containsNonDate="0" containsString="0" containsBlank="1"/>
    </cacheField>
    <cacheField name="Material No." numFmtId="0">
      <sharedItems containsNonDate="0" containsBlank="1" count="272">
        <m/>
        <s v="VAL0467" u="1"/>
        <s v="VAL0408A" u="1"/>
        <s v="VAL0010" u="1"/>
        <s v="VAL0458" u="1"/>
        <s v="VAL0495" u="1"/>
        <s v="EMM0042SG" u="1"/>
        <s v="EMM0048SP1" u="1"/>
        <s v="VAL0225" u="1"/>
        <s v="VAL0001B" u="1"/>
        <s v="EMM0019SP2" u="1"/>
        <s v="EMM0056SP2" u="1"/>
        <s v="VAL0477" u="1"/>
        <s v="EMM0047SP2" u="1"/>
        <s v="VAL0468" u="1"/>
        <s v="VAL0005C" u="1"/>
        <s v="VAL0219R" u="1"/>
        <s v="VAL0409A" u="1"/>
        <s v="VAL0011" u="1"/>
        <s v="VAL0123" u="1"/>
        <s v="VAL0459" u="1"/>
        <s v="VAL0002B" u="1"/>
        <s v="EMM0057SP2" u="1"/>
        <s v="VAL0030" u="1"/>
        <s v="VAL0478" u="1"/>
        <s v="EMM0042SP6" u="1"/>
        <s v="EMM0048SP2" u="1"/>
        <s v="VAL0282" u="1"/>
        <s v="VAL0469" u="1"/>
        <s v="VAL0006C" u="1"/>
        <s v="VAL0046N" u="1"/>
        <s v="EMM0056SP3" u="1"/>
        <s v="EMM0001" u="1"/>
        <s v="VAL0012" u="1"/>
        <s v="VAL0124" u="1"/>
        <s v="VAL0227" u="1"/>
        <s v="VAL0003B" u="1"/>
        <s v="VAL0391A" u="1"/>
        <s v="EMM0042SP2SG" u="1"/>
        <s v="VAL0106" u="1"/>
        <s v="VAL0143" u="1"/>
        <s v="VAL0479" u="1"/>
        <s v="EMM0002" u="1"/>
        <s v="VAL0498" u="1"/>
        <s v="VAL0500" u="1"/>
        <s v="EMM0021" u="1"/>
        <s v="VAL0144" u="1"/>
        <s v="VAL0219" u="1"/>
        <s v="VAL0107B" u="1"/>
        <s v="VAL0219B" u="1"/>
        <s v="VAL0271A" u="1"/>
        <s v="EMM0012" u="1"/>
        <s v="VAL0023" u="1"/>
        <s v="VAL0284" u="1"/>
        <s v="EMM0003" u="1"/>
        <s v="VAL0499" u="1"/>
        <s v="VAL0510" u="1"/>
        <s v="VAL0042" u="1"/>
        <s v="VAL0005B" u="1"/>
        <s v="VAL0281A" u="1"/>
        <s v="EMM0022" u="1"/>
        <s v="VAL0108" u="1"/>
        <s v="VAL0145" u="1"/>
        <s v="VAL0294" u="1"/>
        <s v="VAL0219V" u="1"/>
        <s v="EMM0050" u="1"/>
        <s v="VAL0248" u="1"/>
        <s v="EMM0004" u="1"/>
        <s v="EMM0041" u="1"/>
        <s v="VAL0015" u="1"/>
        <s v="VAL0511" u="1"/>
        <s v="VAL0046H" u="1"/>
        <s v="VAL0006B" u="1"/>
        <s v="EMM0060" u="1"/>
        <s v="VAL0109" u="1"/>
        <s v="VAL0530" u="1"/>
        <s v="VAL0046R" u="1"/>
        <s v="EMM0014" u="1"/>
        <s v="EMM0051" u="1"/>
        <s v="VAL0286" u="1"/>
        <s v="VAL0062B" u="1"/>
        <s v="EMM0005" u="1"/>
        <s v="EMM0042" u="1"/>
        <s v="VAL0277" u="1"/>
        <s v="VAL0389" u="1"/>
        <s v="VAL0400" u="1"/>
        <s v="VAL0512" u="1"/>
        <s v="VAL0268" u="1"/>
        <s v="VAL0296" u="1"/>
        <s v="VAL0531" u="1"/>
        <s v="EMM0015" u="1"/>
        <s v="EMM0052" u="1"/>
        <s v="VAL0399" u="1"/>
        <s v="VAL0004A" u="1"/>
        <s v="VAL0265A" u="1"/>
        <s v="VAL0500A" u="1"/>
        <s v="EMM0006" u="1"/>
        <s v="EMM0043" u="1"/>
        <s v="VAL0017" u="1"/>
        <s v="VAL0513" u="1"/>
        <s v="VAL0054B" u="1"/>
        <s v="EMM0MIXSP1" u="1"/>
        <s v="EMM0034" u="1"/>
        <s v="VAL0008" u="1"/>
        <s v="EMM0025" u="1"/>
        <s v="VAL0036" u="1"/>
        <s v="VAL0297" u="1"/>
        <s v="VAL0532" u="1"/>
        <s v="EMM0016" u="1"/>
        <s v="EMM0053" u="1"/>
        <s v="VAL0411" u="1"/>
        <s v="VAL0501A" u="1"/>
        <s v="EMM0007" u="1"/>
        <s v="EMM0044" u="1"/>
        <s v="VAL0018" u="1"/>
        <s v="VAL0092" u="1"/>
        <s v="VAL0279" u="1"/>
        <s v="VAL0402" u="1"/>
        <s v="VAL0514" u="1"/>
        <s v="EMM0035" u="1"/>
        <s v="VAL0046" u="1"/>
        <s v="VAL0046B" u="1"/>
        <s v="VAL0061A" u="1"/>
        <s v="VAL0083B" u="1"/>
        <s v="VAL0533" u="1"/>
        <s v="EMM0MIXSP2" u="1"/>
        <s v="EMM0017" u="1"/>
        <s v="EMM0054" u="1"/>
        <s v="VAL0289" u="1"/>
        <s v="VAL0300" u="1"/>
        <s v="VAL0412" u="1"/>
        <s v="VAL0524" u="1"/>
        <s v="VAL0502A" u="1"/>
        <s v="EMM0045" u="1"/>
        <s v="VAL0019" u="1"/>
        <s v="VAL0056" u="1"/>
        <s v="VAL0403" u="1"/>
        <s v="VAL0047" u="1"/>
        <s v="VAL0084" u="1"/>
        <s v="EMM0014A" u="1"/>
        <s v="EMM0021SP1" u="1"/>
        <s v="EMM0027" u="1"/>
        <s v="VAL0534" u="1"/>
        <s v="EMM0018" u="1"/>
        <s v="EMM0055" u="1"/>
        <s v="VAL0450" u="1"/>
        <s v="VAL0525" u="1"/>
        <s v="VAL0503A" u="1"/>
        <s v="EMM0046" u="1"/>
        <s v="VAL0404" u="1"/>
        <s v="EMM0MIXSP3" u="1"/>
        <s v="EMM0037" u="1"/>
        <s v="VAL0048" u="1"/>
        <s v="VAL0507" u="1"/>
        <s v="EMM0015A" u="1"/>
        <s v="EMM0022SP1" u="1"/>
        <s v="EMM0028" u="1"/>
        <s v="VAL0460" u="1"/>
        <s v="VAL0535" u="1"/>
        <s v="EMM0050SP1" u="1"/>
        <s v="EMM0019" u="1"/>
        <s v="EMM0056" u="1"/>
        <s v="EMM0034A" u="1"/>
        <s v="VAL0008A" u="1"/>
        <s v="VAL0504A" u="1"/>
        <s v="EMM0041SP1" u="1"/>
        <s v="VAL0405" u="1"/>
        <s v="EMM0038" u="1"/>
        <s v="VAL0433" u="1"/>
        <s v="VAL0470" u="1"/>
        <s v="EMM0016A" u="1"/>
        <s v="VAL0288A" u="1"/>
        <s v="VAL0411A" u="1"/>
        <s v="VAL0418C" u="1"/>
        <s v="VAL0461" u="1"/>
        <s v="VAL0536" u="1"/>
        <s v="VAL0077B" u="1"/>
        <s v="EMM0014SP1" u="1"/>
        <s v="EMM0051SP1" u="1"/>
        <s v="EMM0MIXSP4" u="1"/>
        <s v="EMM0057" u="1"/>
        <s v="VAL0527" u="1"/>
        <s v="EMM0035A" u="1"/>
        <s v="VAL0009A" u="1"/>
        <s v="VAL0505A" u="1"/>
        <s v="EMM0042SP1" u="1"/>
        <s v="VAL0406" u="1"/>
        <s v="VAL0480" u="1"/>
        <s v="VAL0087" u="1"/>
        <s v="VAL0471" u="1"/>
        <s v="VAL0509" u="1"/>
        <s v="EMM0017A" u="1"/>
        <s v="VAL0065A" u="1"/>
        <s v="EMM0041SP2" u="1"/>
        <s v="EMM0015ASP2" u="1"/>
        <s v="VAL0462" u="1"/>
        <s v="VAL0537" u="1"/>
        <s v="EMM0015SP1" u="1"/>
        <s v="EMM0052SP1" u="1"/>
        <s v="EMM0058" u="1"/>
        <s v="VAL0069" u="1"/>
        <s v="VAL0453" u="1"/>
        <s v="VAL0528" u="1"/>
        <s v="VAL0506A" u="1"/>
        <s v="EMM0043SP1" u="1"/>
        <s v="EMM0034ASP2" u="1"/>
        <s v="EMM0049" u="1"/>
        <s v="EMMEQU1" u="1"/>
        <s v="VAL0097" u="1"/>
        <s v="VAL0220" u="1"/>
        <s v="VAL0407" u="1"/>
        <s v="VAL0481" u="1"/>
        <s v="EMM0014SP2" u="1"/>
        <s v="VAL0472" u="1"/>
        <s v="EMM0018A" u="1"/>
        <s v="VAL0066A" u="1"/>
        <s v="VAL0457C" u="1"/>
        <s v="EMM0042SP2" u="1"/>
        <s v="EMM0014ASP3" u="1"/>
        <s v="VAL0314" u="1"/>
        <s v="VAL0351" u="1"/>
        <s v="VAL0463" u="1"/>
        <s v="EMM0053SP1" u="1"/>
        <s v="EMM0059" u="1"/>
        <s v="VAL0529" u="1"/>
        <s v="VAL0085A" u="1"/>
        <s v="EMM0035ASP2" u="1"/>
        <s v="EMMEQU2" u="1"/>
        <s v="VAL0408" u="1"/>
        <s v="VAL0482" u="1"/>
        <s v="VAL0311A" u="1"/>
        <s v="EMM0035SP1" u="1"/>
        <s v="VAL0089" u="1"/>
        <s v="VAL0100" u="1"/>
        <s v="VAL0473" u="1"/>
        <s v="EMM0019A" u="1"/>
        <s v="EMM0043SP2" u="1"/>
        <s v="VAL0352" u="1"/>
        <s v="VAL0464" u="1"/>
        <s v="VAL0001C" u="1"/>
        <s v="EMM0017SP1" u="1"/>
        <s v="EMM0054SP1" u="1"/>
        <s v="VAL0418" u="1"/>
        <s v="VAL0508A" u="1"/>
        <s v="EMM0042SP3" u="1"/>
        <s v="EMMEQU3" u="1"/>
        <s v="VAL0409" u="1"/>
        <s v="VAL0483" u="1"/>
        <s v="VAL0312A" u="1"/>
        <s v="EMM0016SP2" u="1"/>
        <s v="VAL0101" u="1"/>
        <s v="VAL0474" u="1"/>
        <s v="VAL0465" u="1"/>
        <s v="VAL0002C" u="1"/>
        <s v="VAL0406A" u="1"/>
        <s v="VAL0456" u="1"/>
        <s v="VAL0484" u="1"/>
        <s v="EMM0017SP2" u="1"/>
        <s v="EMM0037SP1" u="1"/>
        <s v="VAL0475" u="1"/>
        <s v="VAL0466" u="1"/>
        <s v="VAL0407A" u="1"/>
        <s v="VAL0457" u="1"/>
        <s v="EMM0041SG" u="1"/>
        <s v="EMM0047SP1" u="1"/>
        <s v="EMMEQU5" u="1"/>
        <s v="VAL0485" u="1"/>
        <s v="EMM0018SP2" u="1"/>
        <s v="EMM0055SP2" u="1"/>
        <s v="VAL0439" u="1"/>
        <s v="VAL0476" u="1"/>
        <s v="VAL0013C" u="1"/>
      </sharedItems>
    </cacheField>
    <cacheField name="Material Description" numFmtId="0">
      <sharedItems containsNonDate="0" containsString="0" containsBlank="1"/>
    </cacheField>
    <cacheField name="BU" numFmtId="0">
      <sharedItems containsNonDate="0" containsString="0" containsBlank="1"/>
    </cacheField>
    <cacheField name="Sub-BU" numFmtId="0">
      <sharedItems containsNonDate="0" containsString="0" containsBlank="1"/>
    </cacheField>
    <cacheField name="Aviable date" numFmtId="0">
      <sharedItems containsNonDate="0" containsDate="1" containsString="0" containsBlank="1" minDate="2017-01-01T00:00:00" maxDate="2018-03-02T00:00:00" count="16">
        <m/>
        <d v="2017-08-01T00:00:00" u="1"/>
        <d v="2017-07-01T00:00:00" u="1"/>
        <d v="2017-06-01T00:00:00" u="1"/>
        <d v="2017-05-01T00:00:00" u="1"/>
        <d v="2017-04-01T00:00:00" u="1"/>
        <d v="2017-03-01T00:00:00" u="1"/>
        <d v="2018-03-01T00:00:00" u="1"/>
        <d v="2017-02-01T00:00:00" u="1"/>
        <d v="2017-12-01T00:00:00" u="1"/>
        <d v="2018-02-01T00:00:00" u="1"/>
        <d v="2017-01-01T00:00:00" u="1"/>
        <d v="2017-11-01T00:00:00" u="1"/>
        <d v="2018-01-01T00:00:00" u="1"/>
        <d v="2017-10-01T00:00:00" u="1"/>
        <d v="2017-09-01T00:00:00" u="1"/>
      </sharedItems>
    </cacheField>
    <cacheField name="Forecast quantity" numFmtId="0">
      <sharedItems containsNonDate="0" containsString="0" containsBlank="1"/>
    </cacheField>
    <cacheField name="Base Unit of Measure" numFmtId="0">
      <sharedItems containsNonDate="0" containsString="0" containsBlank="1"/>
    </cacheField>
    <cacheField name="Forecast weight" numFmtId="0">
      <sharedItems containsNonDate="0" containsString="0" containsBlank="1"/>
    </cacheField>
    <cacheField name="Net weight" numFmtId="0">
      <sharedItems containsNonDate="0" containsString="0" containsBlank="1"/>
    </cacheField>
    <cacheField name="Net weight unit" numFmtId="0">
      <sharedItems containsNonDate="0" containsString="0" containsBlank="1"/>
    </cacheField>
    <cacheField name="Input date" numFmtId="0">
      <sharedItems containsNonDate="0" containsString="0" containsBlank="1"/>
    </cacheField>
    <cacheField name="Input time" numFmtId="0">
      <sharedItems containsNonDate="0" containsString="0" containsBlank="1"/>
    </cacheField>
    <cacheField name="Input person" numFmtId="0">
      <sharedItems containsNonDate="0" containsString="0" containsBlank="1"/>
    </cacheField>
    <cacheField name="SHIPTYP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ulian Passebecq  Ghanty" refreshedDate="43003.670022916667" createdVersion="4" refreshedVersion="4" minRefreshableVersion="3" recordCount="13">
  <cacheSource type="worksheet">
    <worksheetSource ref="B1:T1048576" sheet="Stock"/>
  </cacheSource>
  <cacheFields count="19">
    <cacheField name="Material Number" numFmtId="0">
      <sharedItems containsNonDate="0" containsBlank="1" count="720">
        <m/>
        <s v="VAL0099B" u="1"/>
        <s v="VAL0077B" u="1"/>
        <s v="DGF0000D" u="1"/>
        <s v="VAL0054B" u="1"/>
        <s v="VAL0335A" u="1"/>
        <s v="VAL0055B" u="1"/>
        <s v="EMM0042SP6" u="1"/>
        <s v="VAL0311A" u="1"/>
        <s v="VAL0312A" u="1"/>
        <s v="EMM0042SP5" u="1"/>
        <s v="VAL0411A" u="1"/>
        <s v="EMM0042SP4" u="1"/>
        <s v="EMM0042SP3" u="1"/>
        <s v="EMM0041SP2" u="1"/>
        <s v="EMM0042SP2" u="1"/>
        <s v="EMM0043SP2" u="1"/>
        <s v="VAL0219B" u="1"/>
        <s v="EMM0047SP2" u="1"/>
        <s v="EMM0048SP2" u="1"/>
        <s v="EMM0041SP1" u="1"/>
        <s v="EMM0042SP1" u="1"/>
        <s v="EMM0043SP1" u="1"/>
        <s v="VAL0013C" u="1"/>
        <s v="EMM0047SP1" u="1"/>
        <s v="EMM0048SP1" u="1"/>
        <s v="EMM0021SP1" u="1"/>
        <s v="EMM0022SP1" u="1"/>
        <s v="DGF0091" u="1"/>
        <s v="DGF0092" u="1"/>
        <s v="DGF0093" u="1"/>
        <s v="DGF0094" u="1"/>
        <s v="DGF0095" u="1"/>
        <s v="DGF0096" u="1"/>
        <s v="DGF0097" u="1"/>
        <s v="DGF0190" u="1"/>
        <s v="DGF0098" u="1"/>
        <s v="DGF0070" u="1"/>
        <s v="DGF0191" u="1"/>
        <s v="DGF0071" u="1"/>
        <s v="DGF0192" u="1"/>
        <s v="DGF0072" u="1"/>
        <s v="DGF0193" u="1"/>
        <s v="DGF0073" u="1"/>
        <s v="EMM0050" u="1"/>
        <s v="DGF0194" u="1"/>
        <s v="DGF0666U" u="1"/>
        <s v="DGF0074" u="1"/>
        <s v="EMM0051" u="1"/>
        <s v="DGF0195" u="1"/>
        <s v="DGF0075" u="1"/>
        <s v="EMM0052" u="1"/>
        <s v="DGF0196" u="1"/>
        <s v="DGF0076" u="1"/>
        <s v="EMM0053" u="1"/>
        <s v="DGF0197" u="1"/>
        <s v="VAL0457C" u="1"/>
        <s v="DGF0077" u="1"/>
        <s v="DGF0290" u="1"/>
        <s v="EMM0054" u="1"/>
        <s v="DGF0198" u="1"/>
        <s v="DGF0170" u="1"/>
        <s v="DGF0291" u="1"/>
        <s v="EMM0055" u="1"/>
        <s v="DGF0199" u="1"/>
        <s v="DGF0051" u="1"/>
        <s v="DGF0292" u="1"/>
        <s v="EMM0056" u="1"/>
        <s v="DGF0052" u="1"/>
        <s v="DGF0293" u="1"/>
        <s v="EMM0057" u="1"/>
        <s v="DGF0294" u="1"/>
        <s v="EMM0058" u="1"/>
        <s v="DGF0174" u="1"/>
        <s v="DGF0295" u="1"/>
        <s v="EMM0059" u="1"/>
        <s v="DGF0296" u="1"/>
        <s v="EMM0032" u="1"/>
        <s v="DGF0999M" u="1"/>
        <s v="DGF0297" u="1"/>
        <s v="EMM0033" u="1"/>
        <s v="DGF0057" u="1"/>
        <s v="DGF0298" u="1"/>
        <s v="DGF0270" u="1"/>
        <s v="EMM0034" u="1"/>
        <s v="DGF0178" u="1"/>
        <s v="DGF0150" u="1"/>
        <s v="DGF0058" u="1"/>
        <s v="DGF0299" u="1"/>
        <s v="DGF0271" u="1"/>
        <s v="EMM0035" u="1"/>
        <s v="DGF0179" u="1"/>
        <s v="DGF0059" u="1"/>
        <s v="DGF0272" u="1"/>
        <s v="EMM0036" u="1"/>
        <s v="DGF0152" u="1"/>
        <s v="DGF0273" u="1"/>
        <s v="EMM0037" u="1"/>
        <s v="DGF0033" u="1"/>
        <s v="DGF0274" u="1"/>
        <s v="EMM0038" u="1"/>
        <s v="DGF0034" u="1"/>
        <s v="DGF0275" u="1"/>
        <s v="EMM0039" u="1"/>
        <s v="EMM0011" u="1"/>
        <s v="DGF0035" u="1"/>
        <s v="DGF0276" u="1"/>
        <s v="EMM0012" u="1"/>
        <s v="DGF0277" u="1"/>
        <s v="DGF0037" u="1"/>
        <s v="DGF0278" u="1"/>
        <s v="DGF0250" u="1"/>
        <s v="EMM0014" u="1"/>
        <s v="VAL0418C" u="1"/>
        <s v="DGF0038" u="1"/>
        <s v="DGF0279" u="1"/>
        <s v="DGF0010" u="1"/>
        <s v="DGF0251" u="1"/>
        <s v="EMM0015" u="1"/>
        <s v="DGF0159" u="1"/>
        <s v="DGF0039" u="1"/>
        <s v="DGF0011" u="1"/>
        <s v="DGF0252" u="1"/>
        <s v="EMM0016" u="1"/>
        <s v="DGF0012" u="1"/>
        <s v="EMM0017" u="1"/>
        <s v="DGF0013" u="1"/>
        <s v="EMM0018" u="1"/>
        <s v="DGF0666F" u="1"/>
        <s v="EMM0019" u="1"/>
        <s v="DGF0015" u="1"/>
        <s v="DGF0256" u="1"/>
        <s v="DGF0016" u="1"/>
        <s v="EMM0MIXSP4" u="1"/>
        <s v="DGF0017" u="1"/>
        <s v="DGF0258" u="1"/>
        <s v="DGF0000G" u="1"/>
        <s v="DGF0138" u="1"/>
        <s v="DGF0018" u="1"/>
        <s v="DGF0259" u="1"/>
        <s v="DGF0111" u="1"/>
        <s v="DGF0019" u="1"/>
        <s v="DGF0232" u="1"/>
        <s v="DGF0233" u="1"/>
        <s v="DGF0113" u="1"/>
        <s v="DGF0235" u="1"/>
        <s v="DGF0236" u="1"/>
        <s v="DGF0237" u="1"/>
        <s v="EMM0MIXSP3" u="1"/>
        <s v="DGF0000W" u="1"/>
        <s v="DGF0238" u="1"/>
        <s v="DGF0210" u="1"/>
        <s v="DGF0118" u="1"/>
        <s v="DGF0239" u="1"/>
        <s v="DGF0211" u="1"/>
        <s v="DGF0119" u="1"/>
        <s v="DGF0217" u="1"/>
        <s v="EMM0MIXSP2" u="1"/>
        <s v="DGF0218" u="1"/>
        <s v="DGF0219" u="1"/>
        <s v="DGF0313" u="1"/>
        <s v="DGF0314" u="1"/>
        <s v="DGF0315" u="1"/>
        <s v="DGF0316" u="1"/>
        <s v="DGF0317" u="1"/>
        <s v="DGF0318" u="1"/>
        <s v="EMM0MIXSP1" u="1"/>
        <s v="DGF0000H" u="1"/>
        <s v="DGF0071A" u="1"/>
        <s v="DGF0290A" u="1"/>
        <s v="DGF0292A" u="1"/>
        <s v="DGF0295A" u="1"/>
        <s v="DGF0296A" u="1"/>
        <s v="DGF0998O" u="1"/>
        <s v="DGF0999O" u="1"/>
        <s v="DGF0298A" u="1"/>
        <s v="VAL0046N" u="1"/>
        <s v="EMM0034A" u="1"/>
        <s v="DGF0299A" u="1"/>
        <s v="EMM0035A" u="1"/>
        <s v="VAL0081" u="1"/>
        <s v="EMM0010A" u="1"/>
        <s v="EMMEQU1" u="1"/>
        <s v="DGF0155A" u="1"/>
        <s v="EMMEQU2" u="1"/>
        <s v="VAL0084" u="1"/>
        <s v="EMMEQU3" u="1"/>
        <s v="VAL0085" u="1"/>
        <s v="EMM0013A" u="1"/>
        <s v="EMMEQU4" u="1"/>
        <s v="EMM0014A" u="1"/>
        <s v="EMMEQU5" u="1"/>
        <s v="VAL0087" u="1"/>
        <s v="EMM0015A" u="1"/>
        <s v="EMM0016A" u="1"/>
        <s v="VAL0089" u="1"/>
        <s v="EMM0017A" u="1"/>
        <s v="VAL0061" u="1"/>
        <s v="EMM0018A" u="1"/>
        <s v="EMM0019A" u="1"/>
        <s v="VAL0065" u="1"/>
        <s v="VAL0066" u="1"/>
        <s v="DGF0000I" u="1"/>
        <s v="VAL0067" u="1"/>
        <s v="VAL0281" u="1"/>
        <s v="VAL0069" u="1"/>
        <s v="VAL0282" u="1"/>
        <s v="VAL0042" u="1"/>
        <s v="VAL0283" u="1"/>
        <s v="VAL0284" u="1"/>
        <s v="VAL0286" u="1"/>
        <s v="VAL0046" u="1"/>
        <s v="VAL0287" u="1"/>
        <s v="VAL0047" u="1"/>
        <s v="VAL0288" u="1"/>
        <s v="VAL0048" u="1"/>
        <s v="VAL0289" u="1"/>
        <s v="DGF0212A" u="1"/>
        <s v="VAL0020" u="1"/>
        <s v="VAL0022" u="1"/>
        <s v="VAL0263" u="1"/>
        <s v="VAL0143" u="1"/>
        <s v="VAL0023" u="1"/>
        <s v="VAL0264" u="1"/>
        <s v="VAL0144" u="1"/>
        <s v="DGF0056B" u="1"/>
        <s v="VAL0265" u="1"/>
        <s v="VAL0145" u="1"/>
        <s v="VAL0026" u="1"/>
        <s v="VAL0480" u="1"/>
        <s v="VAL0027" u="1"/>
        <s v="VAL0268" u="1"/>
        <s v="VAL0481" u="1"/>
        <s v="VAL0389" u="1"/>
        <s v="VAL0219V" u="1"/>
        <s v="VAL0028" u="1"/>
        <s v="VAL0269" u="1"/>
        <s v="VAL0482" u="1"/>
        <s v="VAL0483" u="1"/>
        <s v="VAL0484" u="1"/>
        <s v="VAL0123" u="1"/>
        <s v="VAL0485" u="1"/>
        <s v="VAL0124" u="1"/>
        <s v="VAL0004" u="1"/>
        <s v="VAL0460" u="1"/>
        <s v="VAL0340" u="1"/>
        <s v="VAL0248" u="1"/>
        <s v="VAL0220" u="1"/>
        <s v="VAL0461" u="1"/>
        <s v="VAL0100" u="1"/>
        <s v="VAL0008" u="1"/>
        <s v="VAL0249" u="1"/>
        <s v="VAL0462" u="1"/>
        <s v="VAL0101" u="1"/>
        <s v="VAL0342" u="1"/>
        <s v="VAL0009" u="1"/>
        <s v="VAL0463" u="1"/>
        <s v="VAL0102" u="1"/>
        <s v="VAL0343" u="1"/>
        <s v="VAL0464" u="1"/>
        <s v="VAL0103" u="1"/>
        <s v="VAL0344" u="1"/>
        <s v="VAL0465" u="1"/>
        <s v="VAL0104" u="1"/>
        <s v="VAL0345" u="1"/>
        <s v="VAL0225" u="1"/>
        <s v="VAL0466" u="1"/>
        <s v="VAL0105" u="1"/>
        <s v="VAL0346" u="1"/>
        <s v="VAL0226" u="1"/>
        <s v="VAL0467" u="1"/>
        <s v="VAL0106" u="1"/>
        <s v="DGF0000J" u="1"/>
        <s v="VAL0227" u="1"/>
        <s v="VAL0468" u="1"/>
        <s v="VAL0440" u="1"/>
        <s v="VAL0320" u="1"/>
        <s v="VAL0228" u="1"/>
        <s v="VAL0469" u="1"/>
        <s v="VAL0441" u="1"/>
        <s v="VAL0108" u="1"/>
        <s v="VAL0349" u="1"/>
        <s v="VAL0442" u="1"/>
        <s v="VAL0109" u="1"/>
        <s v="VAL0322" u="1"/>
        <s v="VAL0443" u="1"/>
        <s v="VAL0444" u="1"/>
        <s v="DGF0998A" u="1"/>
        <s v="VAL0445" u="1"/>
        <s v="VAL0446" u="1"/>
        <s v="DGF0117B" u="1"/>
        <s v="VAL0326" u="1"/>
        <s v="DGF0000ZA" u="1"/>
        <s v="VAL0447" u="1"/>
        <s v="DGF0000Z" u="1"/>
        <s v="VAL0327" u="1"/>
        <s v="VAL0540" u="1"/>
        <s v="VAL0448" u="1"/>
        <s v="VAL0328" u="1"/>
        <s v="VAL0300" u="1"/>
        <s v="VAL0449" u="1"/>
        <s v="VAL0329" u="1"/>
        <s v="VAL0302" u="1"/>
        <s v="VAL0423" u="1"/>
        <s v="VAL0303" u="1"/>
        <s v="VAL0424" u="1"/>
        <s v="VAL0304" u="1"/>
        <s v="VAL0425" u="1"/>
        <s v="VAL0426" u="1"/>
        <s v="VAL0306" u="1"/>
        <s v="VAL0428" u="1"/>
        <s v="VAL0400" u="1"/>
        <s v="VAL0401" u="1"/>
        <s v="VAL0309" u="1"/>
        <s v="VAL0402" u="1"/>
        <s v="VAL0403" u="1"/>
        <s v="VAL0524" u="1"/>
        <s v="VAL0404" u="1"/>
        <s v="VAL0085A" u="1"/>
        <s v="VAL0525" u="1"/>
        <s v="VAL0405" u="1"/>
        <s v="DGF0000ZB" u="1"/>
        <s v="VAL0406" u="1"/>
        <s v="VAL0527" u="1"/>
        <s v="VAL0407" u="1"/>
        <s v="VAL0528" u="1"/>
        <s v="VAL0500" u="1"/>
        <s v="VAL0408" u="1"/>
        <s v="VAL0529" u="1"/>
        <s v="VAL0061A" u="1"/>
        <s v="VAL0501" u="1"/>
        <s v="VAL0409" u="1"/>
        <s v="VAL0502" u="1"/>
        <s v="VAL0503" u="1"/>
        <s v="VAL0504" u="1"/>
        <s v="VAL0065A" u="1"/>
        <s v="VAL0505" u="1"/>
        <s v="VAL0066A" u="1"/>
        <s v="VAL0506" u="1"/>
        <s v="VAL0507" u="1"/>
        <s v="DGF0000K" u="1"/>
        <s v="VAL0281A" u="1"/>
        <s v="VAL0509" u="1"/>
        <s v="DGF0000ZC" u="1"/>
        <s v="VAL0288A" u="1"/>
        <s v="VAL0265A" u="1"/>
        <s v="VAL0083B" u="1"/>
        <s v="VAL0004A" u="1"/>
        <s v="DGF0000ZD" u="1"/>
        <s v="VAL0008A" u="1"/>
        <s v="VAL0009A" u="1"/>
        <s v="VAL0062B" u="1"/>
        <s v="DGF0666K" u="1"/>
        <s v="DGF0014D" u="1"/>
        <s v="DGF0000L" u="1"/>
        <s v="VAL0046B" u="1"/>
        <s v="VAL0001B" u="1"/>
        <s v="VAL0002B" u="1"/>
        <s v="VAL0003B" u="1"/>
        <s v="DGF0000ZF" u="1"/>
        <s v="VAL0005B" u="1"/>
        <s v="VAL0406A" u="1"/>
        <s v="VAL0006B" u="1"/>
        <s v="VAL0407A" u="1"/>
        <s v="VAL0500A" u="1"/>
        <s v="VAL0408A" u="1"/>
        <s v="VAL0501A" u="1"/>
        <s v="VAL0409A" u="1"/>
        <s v="VAL0502A" u="1"/>
        <s v="VAL0503A" u="1"/>
        <s v="EMM0056SP3" u="1"/>
        <s v="VAL0504A" u="1"/>
        <s v="VAL0505A" u="1"/>
        <s v="VAL0225B" u="1"/>
        <s v="VAL0506A" u="1"/>
        <s v="DGF0000M" u="1"/>
        <s v="VAL0107B" u="1"/>
        <s v="VAL0508A" u="1"/>
        <s v="EMM0014SP4" u="1"/>
        <s v="EMM0055SP2" u="1"/>
        <s v="EMM0056SP2" u="1"/>
        <s v="DGF0000ZG" u="1"/>
        <s v="EMM0057SP2" u="1"/>
        <s v="EMM0050SP1" u="1"/>
        <s v="EMM0051SP1" u="1"/>
        <s v="EMM0052SP1" u="1"/>
        <s v="EMM0037SP2" u="1"/>
        <s v="EMM0034ASP2" u="1"/>
        <s v="EMM0035ASP2" u="1"/>
        <s v="VAL0001C" u="1"/>
        <s v="EMM0014SP2" u="1"/>
        <s v="VAL0002C" u="1"/>
        <s v="EMM0035SP1" u="1"/>
        <s v="EMM0016SP2" u="1"/>
        <s v="EMM0017SP2" u="1"/>
        <s v="EMM0037SP1" u="1"/>
        <s v="VAL0005C" u="1"/>
        <s v="EMM0018SP2" u="1"/>
        <s v="EMM0015ASP2" u="1"/>
        <s v="VAL0006C" u="1"/>
        <s v="EMM0019SP2" u="1"/>
        <s v="DGF0080" u="1"/>
        <s v="EMM0014ASP3" u="1"/>
        <s v="DGF0081" u="1"/>
        <s v="DGF0082" u="1"/>
        <s v="EMM0014SP1" u="1"/>
        <s v="DGF0083" u="1"/>
        <s v="EMM0060" u="1"/>
        <s v="EMM0015SP1" u="1"/>
        <s v="DGF0666M" u="1"/>
        <s v="DGF0084" u="1"/>
        <s v="DGF0085" u="1"/>
        <s v="EMM0017SP1" u="1"/>
        <s v="DGF0086" u="1"/>
        <s v="DGF0180" u="1"/>
        <s v="DGF0000N" u="1"/>
        <s v="DGF0060" u="1"/>
        <s v="DGF0061" u="1"/>
        <s v="DGF0183" u="1"/>
        <s v="DGF0000ZI" u="1"/>
        <s v="EMM0040" u="1"/>
        <s v="DGF0184" u="1"/>
        <s v="EMM0041" u="1"/>
        <s v="DGF0185" u="1"/>
        <s v="DGF0065" u="1"/>
        <s v="EMM0042" u="1"/>
        <s v="DGF0186" u="1"/>
        <s v="EMM0043" u="1"/>
        <s v="DGF0187" u="1"/>
        <s v="DGF0067" u="1"/>
        <s v="EMM0044" u="1"/>
        <s v="DGF0188" u="1"/>
        <s v="DGF0160" u="1"/>
        <s v="DGF0040" u="1"/>
        <s v="DGF0281" u="1"/>
        <s v="EMM0045" u="1"/>
        <s v="DGF0189" u="1"/>
        <s v="DGF0161" u="1"/>
        <s v="DGF0041" u="1"/>
        <s v="DGF0282" u="1"/>
        <s v="EMM0046" u="1"/>
        <s v="DGF0162" u="1"/>
        <s v="DGF0042" u="1"/>
        <s v="DGF0283" u="1"/>
        <s v="EMM0047" u="1"/>
        <s v="DGF0284" u="1"/>
        <s v="EMM0048" u="1"/>
        <s v="DGF0285" u="1"/>
        <s v="EMM0049" u="1"/>
        <s v="EMM0021" u="1"/>
        <s v="DGF0286" u="1"/>
        <s v="EMM0022" u="1"/>
        <s v="DGF0046" u="1"/>
        <s v="DGF0287" u="1"/>
        <s v="EMM0023" u="1"/>
        <s v="DGF0288" u="1"/>
        <s v="DGF0260" u="1"/>
        <s v="EMM0024" u="1"/>
        <s v="DGF0168" u="1"/>
        <s v="DGF0048" u="1"/>
        <s v="DGF0289" u="1"/>
        <s v="DGF0020" u="1"/>
        <s v="DGF0261" u="1"/>
        <s v="EMM0025" u="1"/>
        <s v="DGF0169" u="1"/>
        <s v="DGF0021" u="1"/>
        <s v="DGF0262" u="1"/>
        <s v="EMM0026" u="1"/>
        <s v="DGF0142" u="1"/>
        <s v="DGF0000ZJ" u="1"/>
        <s v="DGF0022" u="1"/>
        <s v="DGF0263" u="1"/>
        <s v="EMM0027" u="1"/>
        <s v="DGF0143" u="1"/>
        <s v="DGF0023" u="1"/>
        <s v="EMM0028" u="1"/>
        <s v="DGF0024" u="1"/>
        <s v="DGF0265" u="1"/>
        <s v="EMM0001" u="1"/>
        <s v="DGF0145" u="1"/>
        <s v="DGF0025" u="1"/>
        <s v="DGF0266" u="1"/>
        <s v="EMM0002" u="1"/>
        <s v="DGF0146" u="1"/>
        <s v="DGF0026" u="1"/>
        <s v="DGF0267" u="1"/>
        <s v="EMM0003" u="1"/>
        <s v="DGF0027" u="1"/>
        <s v="DGF0268" u="1"/>
        <s v="EMM0004" u="1"/>
        <s v="DGF0120" u="1"/>
        <s v="DGF0028" u="1"/>
        <s v="DGF0269" u="1"/>
        <s v="DGF0241" u="1"/>
        <s v="EMM0005" u="1"/>
        <s v="DGF0121" u="1"/>
        <s v="DGF0029" u="1"/>
        <s v="DGF0001" u="1"/>
        <s v="DGF0242" u="1"/>
        <s v="EMM0006" u="1"/>
        <s v="DGF0122" u="1"/>
        <s v="DGF0002" u="1"/>
        <s v="DGF0243" u="1"/>
        <s v="EMM0007" u="1"/>
        <s v="DGF0123" u="1"/>
        <s v="DGF0666N" u="1"/>
        <s v="DGF0244" u="1"/>
        <s v="EMM0008" u="1"/>
        <s v="DGF0004" u="1"/>
        <s v="DGF0125" u="1"/>
        <s v="DGF0005" u="1"/>
        <s v="DGF0126" u="1"/>
        <s v="DGF0006" u="1"/>
        <s v="DGF0007" u="1"/>
        <s v="DGF0248" u="1"/>
        <s v="DGF0000O" u="1"/>
        <s v="DGF0220" u="1"/>
        <s v="DGF0008" u="1"/>
        <s v="DGF0249" u="1"/>
        <s v="DGF0221" u="1"/>
        <s v="DGF0009" u="1"/>
        <s v="DGF0000ZK" u="1"/>
        <s v="DGF0222" u="1"/>
        <s v="DGF0223" u="1"/>
        <s v="DGF0103" u="1"/>
        <s v="DGF0224" u="1"/>
        <s v="DGF0105" u="1"/>
        <s v="DGF0320" u="1"/>
        <s v="DGF0228" u="1"/>
        <s v="DGF0200" u="1"/>
        <s v="DGF0321" u="1"/>
        <s v="DGF1000" u="1"/>
        <s v="DGF0229" u="1"/>
        <s v="DGF0109" u="1"/>
        <s v="DGF0322" u="1"/>
        <s v="DGF1001" u="1"/>
        <s v="DGF0202" u="1"/>
        <s v="DGF0323" u="1"/>
        <s v="DGF1002" u="1"/>
        <s v="DGF0203" u="1"/>
        <s v="DGF1003" u="1"/>
        <s v="DGF0204" u="1"/>
        <s v="DGF0205" u="1"/>
        <s v="DGF0206" u="1"/>
        <s v="DGF0207" u="1"/>
        <s v="DGF0300" u="1"/>
        <s v="DGF0208" u="1"/>
        <s v="DGF0301" u="1"/>
        <s v="DGF0209" u="1"/>
        <s v="DGF0000ZL" u="1"/>
        <s v="DGF0302" u="1"/>
        <s v="DGF0303" u="1"/>
        <s v="DGF0304" u="1"/>
        <s v="DGF0305" u="1"/>
        <s v="DGF0306" u="1"/>
        <s v="DGF0307" u="1"/>
        <s v="DGF0085A" u="1"/>
        <s v="DGF0000ZM" u="1"/>
        <s v="DGF0040A" u="1"/>
        <s v="DGF0281A" u="1"/>
        <s v="DGF01001" u="1"/>
        <s v="DGF0282A" u="1"/>
        <s v="DGF0283A" u="1"/>
        <s v="DGF0284A" u="1"/>
        <s v="VAL0092" u="1"/>
        <s v="DGF0285A" u="1"/>
        <s v="VAL0093" u="1"/>
        <s v="DGF0286A" u="1"/>
        <s v="VAL0094" u="1"/>
        <s v="DGF0999W" u="1"/>
        <s v="DGF0287A" u="1"/>
        <s v="DGF0288A" u="1"/>
        <s v="VAL0096" u="1"/>
        <s v="VAL0097" u="1"/>
        <s v="DGF0000ZN" u="1"/>
        <s v="VAL0073" u="1"/>
        <s v="DGF0000A" u="1"/>
        <s v="VAL0290" u="1"/>
        <s v="VAL0291" u="1"/>
        <s v="VAL0293" u="1"/>
        <s v="DGF0666P" u="1"/>
        <s v="VAL0053" u="1"/>
        <s v="VAL0294" u="1"/>
        <s v="VAL0296" u="1"/>
        <s v="VAL0056" u="1"/>
        <s v="VAL0297" u="1"/>
        <s v="DGF0000ZO" u="1"/>
        <s v="VAL0390" u="1"/>
        <s v="VAL0057" u="1"/>
        <s v="VAL0391" u="1"/>
        <s v="VAL0299" u="1"/>
        <s v="DGF0062B" u="1"/>
        <s v="VAL0030" u="1"/>
        <s v="VAL0271" u="1"/>
        <s v="VAL0392" u="1"/>
        <s v="VAL0272" u="1"/>
        <s v="VAL0273" u="1"/>
        <s v="VAL0033" u="1"/>
        <s v="VAL0274" u="1"/>
        <s v="VAL0034" u="1"/>
        <s v="VAL0275" u="1"/>
        <s v="DGF0999H" u="1"/>
        <s v="VAL0035" u="1"/>
        <s v="VAL0276" u="1"/>
        <s v="VAL0046G" u="1"/>
        <s v="VAL0036" u="1"/>
        <s v="VAL0277" u="1"/>
        <s v="VAL0370" u="1"/>
        <s v="VAL0491" u="1"/>
        <s v="VAL0399" u="1"/>
        <s v="VAL0130" u="1"/>
        <s v="VAL0279" u="1"/>
        <s v="VAL0010" u="1"/>
        <s v="VAL0492" u="1"/>
        <s v="VAL0131" u="1"/>
        <s v="VAL0039" u="1"/>
        <s v="VAL0011" u="1"/>
        <s v="VAL0252" u="1"/>
        <s v="VAL0493" u="1"/>
        <s v="DGF0044B" u="1"/>
        <s v="VAL0012" u="1"/>
        <s v="VAL0494" u="1"/>
        <s v="DGF0998X" u="1"/>
        <s v="VAL0495" u="1"/>
        <s v="VAL0496" u="1"/>
        <s v="DGF0047B" u="1"/>
        <s v="VAL0015" u="1"/>
        <s v="VAL0497" u="1"/>
        <s v="VAL0016" u="1"/>
        <s v="VAL0498" u="1"/>
        <s v="VAL0470" u="1"/>
        <s v="DGF0301A" u="1"/>
        <s v="VAL0350" u="1"/>
        <s v="VAL0017" u="1"/>
        <s v="VAL0499" u="1"/>
        <s v="VAL0230" u="1"/>
        <s v="VAL0471" u="1"/>
        <s v="DGF0302A" u="1"/>
        <s v="VAL0351" u="1"/>
        <s v="VAL0018" u="1"/>
        <s v="VAL0231" u="1"/>
        <s v="VAL0472" u="1"/>
        <s v="VAL0352" u="1"/>
        <s v="VAL0019" u="1"/>
        <s v="VAL0232" u="1"/>
        <s v="VAL0473" u="1"/>
        <s v="VAL0353" u="1"/>
        <s v="VAL0233" u="1"/>
        <s v="VAL0474" u="1"/>
        <s v="VAL0354" u="1"/>
        <s v="VAL0234" u="1"/>
        <s v="VAL0475" u="1"/>
        <s v="VAL0355" u="1"/>
        <s v="VAL0235" u="1"/>
        <s v="VAL0476" u="1"/>
        <s v="VAL0477" u="1"/>
        <s v="VAL0478" u="1"/>
        <s v="VAL0450" u="1"/>
        <s v="VAL0330" u="1"/>
        <s v="VAL0479" u="1"/>
        <s v="VAL0451" u="1"/>
        <s v="VAL0331" u="1"/>
        <s v="VAL0452" u="1"/>
        <s v="VAL0332" u="1"/>
        <s v="VAL0453" u="1"/>
        <s v="VAL0333" u="1"/>
        <s v="VAL0454" u="1"/>
        <s v="VAL0334" u="1"/>
        <s v="VAL0455" u="1"/>
        <s v="VAL0335" u="1"/>
        <s v="VAL0456" u="1"/>
        <s v="VAL0336" u="1"/>
        <s v="VAL0457" u="1"/>
        <s v="VAL0337" u="1"/>
        <s v="DGF0000R" u="1"/>
        <s v="VAL0458" u="1"/>
        <s v="VAL0338" u="1"/>
        <s v="VAL0310" u="1"/>
        <s v="VAL0459" u="1"/>
        <s v="VAL0339" u="1"/>
        <s v="DGF0102B" u="1"/>
        <s v="VAL0219" u="1"/>
        <s v="VAL0432" u="1"/>
        <s v="VAL0312" u="1"/>
        <s v="VAL0433" u="1"/>
        <s v="VAL0434" u="1"/>
        <s v="VAL0314" u="1"/>
        <s v="VAL0435" u="1"/>
        <s v="VAL0315" u="1"/>
        <s v="VAL0046H" u="1"/>
        <s v="VAL0317" u="1"/>
        <s v="VAL0530" u="1"/>
        <s v="VAL0438" u="1"/>
        <s v="VAL0410" u="1"/>
        <s v="VAL0318" u="1"/>
        <s v="VAL0439" u="1"/>
        <s v="VAL0411" u="1"/>
        <s v="VAL0319" u="1"/>
        <s v="VAL0532" u="1"/>
        <s v="VAL0412" u="1"/>
        <s v="VAL0533" u="1"/>
        <s v="VAL0413" u="1"/>
        <s v="VAL0534" u="1"/>
        <s v="VAL0414" u="1"/>
        <s v="VAL0535" u="1"/>
        <s v="DGF0999Y" u="1"/>
        <s v="VAL0415" u="1"/>
        <s v="VAL0416" u="1"/>
        <s v="VAL0537" u="1"/>
        <s v="VAL0417" u="1"/>
        <s v="VAL0510" u="1"/>
        <s v="VAL0418" u="1"/>
        <s v="VAL0539" u="1"/>
        <s v="VAL0511" u="1"/>
        <s v="VAL0512" u="1"/>
        <s v="VAL0513" u="1"/>
        <s v="DGF0000C" u="1"/>
        <s v="VAL0391A" u="1"/>
        <s v="VAL0271A" u="1"/>
        <s v="VAL0091B" u="1"/>
      </sharedItems>
    </cacheField>
    <cacheField name="Plant" numFmtId="0">
      <sharedItems containsNonDate="0" containsString="0" containsBlank="1"/>
    </cacheField>
    <cacheField name="Batch" numFmtId="0">
      <sharedItems containsNonDate="0" containsString="0" containsBlank="1"/>
    </cacheField>
    <cacheField name="Stor. Location" numFmtId="0">
      <sharedItems containsNonDate="0" containsString="0" containsBlank="1"/>
    </cacheField>
    <cacheField name="Unrestricted" numFmtId="0">
      <sharedItems containsNonDate="0" containsString="0" containsBlank="1"/>
    </cacheField>
    <cacheField name="Restricted-Use" numFmtId="0">
      <sharedItems containsNonDate="0" containsString="0" containsBlank="1"/>
    </cacheField>
    <cacheField name="Blocked" numFmtId="0">
      <sharedItems containsNonDate="0" containsString="0" containsBlank="1"/>
    </cacheField>
    <cacheField name="In Qual. Insp." numFmtId="0">
      <sharedItems containsNonDate="0" containsString="0" containsBlank="1"/>
    </cacheField>
    <cacheField name="Stock in tfr" numFmtId="0">
      <sharedItems containsNonDate="0" containsString="0" containsBlank="1"/>
    </cacheField>
    <cacheField name="Special Stock" numFmtId="0">
      <sharedItems containsNonDate="0" containsString="0" containsBlank="1"/>
    </cacheField>
    <cacheField name="Returns" numFmtId="0">
      <sharedItems containsNonDate="0" containsString="0" containsBlank="1"/>
    </cacheField>
    <cacheField name="Unit of Measure" numFmtId="0">
      <sharedItems containsNonDate="0" containsString="0" containsBlank="1"/>
    </cacheField>
    <cacheField name="Date of Manuf." numFmtId="0">
      <sharedItems containsNonDate="0" containsString="0" containsBlank="1"/>
    </cacheField>
    <cacheField name="SLED/BBD" numFmtId="0">
      <sharedItems containsNonDate="0" containsString="0" containsBlank="1"/>
    </cacheField>
    <cacheField name="Total SL" numFmtId="0">
      <sharedItems containsString="0" containsBlank="1" containsNumber="1" containsInteger="1" minValue="0" maxValue="0"/>
    </cacheField>
    <cacheField name="Remaining SL" numFmtId="0">
      <sharedItems containsString="0" containsBlank="1" containsNumber="1" containsInteger="1" minValue="-43003" maxValue="-43003"/>
    </cacheField>
    <cacheField name="Percentage" numFmtId="0">
      <sharedItems containsBlank="1"/>
    </cacheField>
    <cacheField name="Stock" numFmtId="0">
      <sharedItems containsBlank="1"/>
    </cacheField>
    <cacheField name="Us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Julian Passebecq  Ghanty" refreshedDate="43003.670022916667" createdVersion="4" refreshedVersion="4" minRefreshableVersion="3" recordCount="3">
  <cacheSource type="worksheet">
    <worksheetSource ref="B1:Q1048576" sheet="Stock Transfer"/>
  </cacheSource>
  <cacheFields count="16">
    <cacheField name="Material" numFmtId="0">
      <sharedItems containsNonDate="0" containsBlank="1" count="452">
        <m/>
        <s v="CHP0070" u="1"/>
        <s v="CHP0182" u="1"/>
        <s v="CHP0369" u="1"/>
        <s v="DGF0086" u="1"/>
        <s v="ELV0022" u="1"/>
        <s v="KOT0012" u="1"/>
        <s v="LDT0036" u="1"/>
        <s v="MOL0065" u="1"/>
        <s v="ROU0003" u="1"/>
        <s v="BUF0004B" u="1"/>
        <s v="CHP0123A" u="1"/>
        <s v="BON0133" u="1"/>
        <s v="DGF0077" u="1"/>
        <s v="DOB0039" u="1"/>
        <s v="DOB0076" u="1"/>
        <s v="KOT0003" u="1"/>
        <s v="CHP0151A" u="1"/>
        <s v="ELV0013B" u="1"/>
        <s v="ALM0003" u="1"/>
        <s v="VAL0225" u="1"/>
        <s v="VAL0001B" u="1"/>
        <s v="CHP0006" u="1"/>
        <s v="TAY0019" u="1"/>
        <s v="CHP0245A" u="1"/>
        <s v="DGF0298A" u="1"/>
        <s v="CHP0071" u="1"/>
        <s v="ELV0023" u="1"/>
        <s v="VAL0005C" u="1"/>
        <s v="CHP0062" u="1"/>
        <s v="ELV0014" u="1"/>
        <s v="MOL0094" u="1"/>
        <s v="MOL0169" u="1"/>
        <s v="VAL0123" u="1"/>
        <s v="CHP0152A" u="1"/>
        <s v="BON0162" u="1"/>
        <s v="CHP0016" u="1"/>
        <s v="CHP0277" u="1"/>
        <s v="LDT0056" u="1"/>
        <s v="LES0001" u="1"/>
        <s v="VAL0002B" u="1"/>
        <s v="P010" u="1"/>
        <s v="CHP0007" u="1"/>
        <s v="CHP0193" u="1"/>
        <s v="ELV0033" u="1"/>
        <s v="CHP0134A" u="1"/>
        <s v="CHP0246A" u="1"/>
        <s v="OVO0001B" u="1"/>
        <s v="COF0010" u="1"/>
        <s v="KOT0014" u="1"/>
        <s v="LES0020" u="1"/>
        <s v="DGF0301A" u="1"/>
        <s v="VAL0006C" u="1"/>
        <s v="P020" u="1"/>
        <s v="CHP0063" u="1"/>
        <s v="COF0001" u="1"/>
        <s v="ELV0015" u="1"/>
        <s v="EMM0001" u="1"/>
        <s v="KOT0005" u="1"/>
        <s v="VAL0012" u="1"/>
        <s v="BUF0025" u="1"/>
        <s v="KOT0108" u="1"/>
        <s v="LDT0057" u="1"/>
        <s v="LES0002" u="1"/>
        <s v="LRN0411" u="1"/>
        <s v="SFB0002" u="1"/>
        <s v="VAL0003B" u="1"/>
        <s v="CHP0008" u="1"/>
        <s v="ELV0034" u="1"/>
        <s v="HAL0011" u="1"/>
        <s v="KOT0024" u="1"/>
        <s v="VAL0479" u="1"/>
        <s v="CHP0135A" u="1"/>
        <s v="OVO0002B" u="1"/>
        <s v="DGF0000ZB" u="1"/>
        <s v="BUF0007" u="1"/>
        <s v="KOT0015" u="1"/>
        <s v="LES0021" u="1"/>
        <s v="ROU0006" u="1"/>
        <s v="CHP0163A" u="1"/>
        <s v="P040" u="1"/>
        <s v="BST0001" u="1"/>
        <s v="CHP0064" u="1"/>
        <s v="COF0002" u="1"/>
        <s v="EMM0002" u="1"/>
        <s v="JIN0001" u="1"/>
        <s v="KOT0006" u="1"/>
        <s v="LES0012" u="1"/>
        <s v="URB0001" u="1"/>
        <s v="CHP0117A" u="1"/>
        <s v="ABS0016" u="1"/>
        <s v="ELV0007" u="1"/>
        <s v="IRE0001" u="1"/>
        <s v="KOT0109" u="1"/>
        <s v="LDT0058" u="1"/>
        <s v="MOL0020S" u="1"/>
        <s v="P050" u="1"/>
        <s v="CHP0046" u="1"/>
        <s v="CHP0195" u="1"/>
        <s v="DOB0098" u="1"/>
        <s v="EMM0021" u="1"/>
        <s v="SHE0001" u="1"/>
        <s v="OVO0003B" u="1"/>
        <s v="VAL0107B" u="1"/>
        <s v="BUF0008" u="1"/>
        <s v="EMM0012" u="1"/>
        <s v="IRE0020" u="1"/>
        <s v="JCT0001" u="1"/>
        <s v="KOT0090" u="1"/>
        <s v="LRN0196" u="1"/>
        <s v="WST0004B" u="1"/>
        <s v="CHPOEM005" u="1"/>
        <s v="CHP0300" u="1"/>
        <s v="ELV0017" u="1"/>
        <s v="EMM0003" u="1"/>
        <s v="KOT0007" u="1"/>
        <s v="OIL0001" u="1"/>
        <s v="CHP0118A" u="1"/>
        <s v="MOL0030S" u="1"/>
        <s v="DGF0120" u="1"/>
        <s v="LES0004" u="1"/>
        <s v="SFB0004" u="1"/>
        <s v="VAL0042" u="1"/>
        <s v="VIL0002" u="1"/>
        <s v="VAL0005B" u="1"/>
        <s v="BUF0018" u="1"/>
        <s v="DOB0099" u="1"/>
        <s v="ELV0036" u="1"/>
        <s v="EMM0022" u="1"/>
        <s v="IRE0030" u="1"/>
        <s v="SHE0002" u="1"/>
        <s v="VAL0108" u="1"/>
        <s v="CHP0075" u="1"/>
        <s v="CHP0299" u="1"/>
        <s v="DGF0251" u="1"/>
        <s v="ROU0008B" u="1"/>
        <s v="WST0005B" u="1"/>
        <s v="CHPSAM001B" u="1"/>
        <s v="COF0004" u="1"/>
        <s v="EMM0004" u="1"/>
        <s v="EMM0041" u="1"/>
        <s v="KOT0008" u="1"/>
        <s v="VAL0511" u="1"/>
        <s v="CHP0156A" u="1"/>
        <s v="IRE0003" u="1"/>
        <s v="LES0005" u="1"/>
        <s v="MOL0089" u="1"/>
        <s v="VIL0003" u="1"/>
        <s v="MOL0022S" u="1"/>
        <s v="VAL0006B" u="1"/>
        <s v="AGN0010" u="1"/>
        <s v="ELV0037" u="1"/>
        <s v="SEV0060" u="1"/>
        <s v="AGN0001" u="1"/>
        <s v="JCT0003" u="1"/>
        <s v="MKN0101" u="1"/>
        <s v="URB0013" u="1"/>
        <s v="VAL0062B" u="1"/>
        <s v="BST0004" u="1"/>
        <s v="DGF0243" u="1"/>
        <s v="EMM0005" u="1"/>
        <s v="EMM0042" u="1"/>
        <s v="IRE0013" u="1"/>
        <s v="JIN0004" u="1"/>
        <s v="KOT0009" u="1"/>
        <s v="ABS0028B" u="1"/>
        <s v="BAD0001B" u="1"/>
        <s v="BUF0029" u="1"/>
        <s v="DGF0010" u="1"/>
        <s v="IRE0004" u="1"/>
        <s v="LES0006" u="1"/>
        <s v="OSB0001A" u="1"/>
        <s v="CHP0049" u="1"/>
        <s v="IRE0032" u="1"/>
        <s v="MKN0111" u="1"/>
        <s v="OVO0006" u="1"/>
        <s v="UCC0010" u="1"/>
        <s v="URH0020" u="1"/>
        <s v="AGN0002" u="1"/>
        <s v="CHP0189" u="1"/>
        <s v="IRE0023" u="1"/>
        <s v="KOT0019" u="1"/>
        <s v="KOT0093" u="1"/>
        <s v="SEV0015" u="1"/>
        <s v="UCC0001" u="1"/>
        <s v="SHE0010A" u="1"/>
        <s v="BST0005" u="1"/>
        <s v="EMM0006" u="1"/>
        <s v="KAM0001" u="1"/>
        <s v="MOL0111" u="1"/>
        <s v="RCC0006" u="1"/>
        <s v="URH0002" u="1"/>
        <s v="VAL0513" u="1"/>
        <s v="BAD0002B" u="1"/>
        <s v="VAL0054B" u="1"/>
        <s v="ELV0005SP1" u="1"/>
        <s v="EMM0MIXSP1" u="1"/>
        <s v="IRE0005" u="1"/>
        <s v="LES0007" u="1"/>
        <s v="SEV0034" u="1"/>
        <s v="AGN0012" u="1"/>
        <s v="EMM0025" u="1"/>
        <s v="CHPSAM004C" u="1"/>
        <s v="AGN0003" u="1"/>
        <s v="COR0010" u="1"/>
        <s v="EMM0053" u="1"/>
        <s v="KOT0094" u="1"/>
        <s v="MOL0080S" u="1"/>
        <s v="BST0006" u="1"/>
        <s v="CHP0069" u="1"/>
        <s v="EMM0044" u="1"/>
        <s v="KAM0002" u="1"/>
        <s v="URH0003" u="1"/>
        <s v="CHP0159A" u="1"/>
        <s v="EVN0004T" u="1"/>
        <s v="DOB0011" u="1"/>
        <s v="IRE0006" u="1"/>
        <s v="QUO0002" u="1"/>
        <s v="VAL0083B" u="1"/>
        <s v="AGN0013" u="1"/>
        <s v="DOB0002" u="1"/>
        <s v="UCC0012" u="1"/>
        <s v="AGN0004" u="1"/>
        <s v="BST0016" u="1"/>
        <s v="CHP0079" u="1"/>
        <s v="COF0017" u="1"/>
        <s v="HAL0008" u="1"/>
        <s v="IRE0025" u="1"/>
        <s v="KOT0095" u="1"/>
        <s v="BNR0001" u="1"/>
        <s v="BST0007" u="1"/>
        <s v="EMM0045" u="1"/>
        <s v="IRE0016" u="1"/>
        <s v="KAM0003" u="1"/>
        <s v="QUO0012" u="1"/>
        <s v="URH0004" u="1"/>
        <s v="SBR0021" u="1"/>
        <s v="EMM0014A" u="1"/>
        <s v="AGN0014" u="1"/>
        <s v="DOD0002" u="1"/>
        <s v="EMM0027" u="1"/>
        <s v="LRN0409" u="1"/>
        <s v="MOL0054S" u="1"/>
        <s v="EMM0055" u="1"/>
        <s v="HAL0009" u="1"/>
        <s v="KAG0016" u="1"/>
        <s v="KOT0096" u="1"/>
        <s v="VAL0450" u="1"/>
        <s v="MOL0045S" u="1"/>
        <s v="BNR0002" u="1"/>
        <s v="BST0008" u="1"/>
        <s v="IRE0017" u="1"/>
        <s v="KAM0004" u="1"/>
        <s v="LDT0010" u="1"/>
        <s v="MKN0021" u="1"/>
        <s v="PAC0007" u="1"/>
        <s v="URH0005" u="1"/>
        <s v="COR0003B" u="1"/>
        <s v="MOL0036S" u="1"/>
        <s v="BLV0001" u="1"/>
        <s v="CHP0222" u="1"/>
        <s v="CHP0409" u="1"/>
        <s v="DGF0051" u="1"/>
        <s v="DOB0013" u="1"/>
        <s v="EMM0037" u="1"/>
        <s v="LDT0001" u="1"/>
        <s v="EMM0015A" u="1"/>
        <s v="MOL0064S" u="1"/>
        <s v="AGN0015" u="1"/>
        <s v="CHP0213" u="1"/>
        <s v="DOD0003" u="1"/>
        <s v="MOL0170" u="1"/>
        <s v="RM00069" u="1"/>
        <s v="TAY0002" u="1"/>
        <s v="VAL0535" u="1"/>
        <s v="DGF0117B" u="1"/>
        <s v="AGN0006" u="1"/>
        <s v="DGF0033" u="1"/>
        <s v="EMM0056" u="1"/>
        <s v="JCT0008" u="1"/>
        <s v="KOT0097" u="1"/>
        <s v="MKN0106" u="1"/>
        <s v="MOL0124" u="1"/>
        <s v="RAV0001" u="1"/>
        <s v="SEV0056" u="1"/>
        <s v="UCC0005" u="1"/>
        <s v="EMM0034A" u="1"/>
        <s v="MOL0046S" u="1"/>
        <s v="MOL0083S" u="1"/>
        <s v="BST0009" u="1"/>
        <s v="DGF0024" u="1"/>
        <s v="DGF0061" u="1"/>
        <s v="IRE0018" u="1"/>
        <s v="KAM0005" u="1"/>
        <s v="COR0004B" u="1"/>
        <s v="CHP0223" u="1"/>
        <s v="DOB0014" u="1"/>
        <s v="IRE0009" u="1"/>
        <s v="LDT0002" u="1"/>
        <s v="SHE0018" u="1"/>
        <s v="VAL0433" u="1"/>
        <s v="EMM0016A" u="1"/>
        <s v="CHP0214" u="1"/>
        <s v="DGF0118" u="1"/>
        <s v="DOB0005" u="1"/>
        <s v="MOL0171" u="1"/>
        <s v="TAY0003" u="1"/>
        <s v="CHP0341A" u="1"/>
        <s v="AGN0007" u="1"/>
        <s v="BNR0013" u="1"/>
        <s v="CHP0391" u="1"/>
        <s v="EMM0057" u="1"/>
        <s v="LDT0021" u="1"/>
        <s v="MKN0107" u="1"/>
        <s v="RAV0002" u="1"/>
        <s v="SBR0042" u="1"/>
        <s v="UCC0006" u="1"/>
        <s v="EMM0035A" u="1"/>
        <s v="BNR0004" u="1"/>
        <s v="CHP0270" u="1"/>
        <s v="DGF0025" u="1"/>
        <s v="IRE0019" u="1"/>
        <s v="KAG0009" u="1"/>
        <s v="KAM0006" u="1"/>
        <s v="LDT0012" u="1"/>
        <s v="DGF0040A" u="1"/>
        <s v="DGF0062B" u="1"/>
        <s v="MOL0075S" u="1"/>
        <s v="SHE0006A" u="1"/>
        <s v="CHP0224" u="1"/>
        <s v="DOB0015" u="1"/>
        <s v="LDT0003" u="1"/>
        <s v="SHE0019" u="1"/>
        <s v="EMM0017A" u="1"/>
        <s v="CHP0103" u="1"/>
        <s v="CHP0215" u="1"/>
        <s v="DGF0119" u="1"/>
        <s v="DGF0193" u="1"/>
        <s v="TAY0004" u="1"/>
        <s v="VAL0537" u="1"/>
        <s v="EMM0015SP1" u="1"/>
        <s v="DGF0072" u="1"/>
        <s v="DOB0071" u="1"/>
        <s v="EMM0058" u="1"/>
        <s v="KOT0099" u="1"/>
        <s v="KOT0110" u="1"/>
        <s v="MKN0108" u="1"/>
        <s v="MOL0014" u="1"/>
        <s v="SBR0006" u="1"/>
        <s v="SOS0028" u="1"/>
        <s v="BRO0005" u="1"/>
        <s v="CHP0271" u="1"/>
        <s v="DGF0026" u="1"/>
        <s v="KAM0007" u="1"/>
        <s v="KOT0101" u="1"/>
        <s v="LDT0013" u="1"/>
        <s v="RDC0012" u="1"/>
        <s v="MOL0039S" u="1"/>
        <s v="MOL0076S" u="1"/>
        <s v="VIL0035A" u="1"/>
        <s v="CHP0225" u="1"/>
        <s v="DGF0278" u="1"/>
        <s v="LDT0004" u="1"/>
        <s v="QUO0007" u="1"/>
        <s v="SAB0006" u="1"/>
        <s v="EMM0018A" u="1"/>
        <s v="VAL0066A" u="1"/>
        <s v="IRE0039" u="1"/>
        <s v="TAY0005" u="1"/>
        <s v="MOL0058S" u="1"/>
        <s v="DOB0072" u="1"/>
        <s v="VAL0085A" u="1"/>
        <s v="CHP0272" u="1"/>
        <s v="KAM0008" u="1"/>
        <s v="LDT0014" u="1"/>
        <s v="VAL0482" u="1"/>
        <s v="SHE0008A" u="1"/>
        <s v="VAL0311A" u="1"/>
        <s v="VIL0036A" u="1"/>
        <s v="EMM0035SP1" u="1"/>
        <s v="BUF0010" u="1"/>
        <s v="LDT0005" u="1"/>
        <s v="MKN0053" u="1"/>
        <s v="RAV0023" u="1"/>
        <s v="RDC0004" u="1"/>
        <s v="EMM0019A" u="1"/>
        <s v="CHP0291" u="1"/>
        <s v="SBR0017" u="1"/>
        <s v="SOS0039" u="1"/>
        <s v="VAL0001C" u="1"/>
        <s v="EMM0017SP1" u="1"/>
        <s v="CHP0208" u="1"/>
        <s v="DGF0074" u="1"/>
        <s v="ELV0010" u="1"/>
        <s v="KOT0112" u="1"/>
        <s v="MOL0053" u="1"/>
        <s v="RAV0005" u="1"/>
        <s v="MOL0087S" u="1"/>
        <s v="DGF0000ZC" u="1"/>
        <s v="ABS0010" u="1"/>
        <s v="BNR0007" u="1"/>
        <s v="BUF0020" u="1"/>
        <s v="CHP0236" u="1"/>
        <s v="DGF0028" u="1"/>
        <s v="ELV0001" u="1"/>
        <s v="KOT0103" u="1"/>
        <s v="LDT0015" u="1"/>
        <s v="SHE0009A" u="1"/>
        <s v="CHP0227" u="1"/>
        <s v="DGF0019" u="1"/>
        <s v="DOB0018" u="1"/>
        <s v="MOL0072" u="1"/>
        <s v="SOS0049" u="1"/>
        <s v="DGF0196" u="1"/>
        <s v="TAY0007" u="1"/>
        <s v="URH0029" u="1"/>
        <s v="BUF0002B" u="1"/>
        <s v="CHP0121A" u="1"/>
        <s v="DGF0047B" u="1"/>
        <s v="KOT0001" u="1"/>
        <s v="CHP0237" u="1"/>
        <s v="ELV0002" u="1"/>
        <s v="LDT0016" u="1"/>
        <s v="LRN0396" u="1"/>
        <s v="BLV0007" u="1"/>
        <s v="CHP0190" u="1"/>
        <s v="CHP0377" u="1"/>
        <s v="DGF0057" u="1"/>
        <s v="ELV0030" u="1"/>
        <s v="SAB0009" u="1"/>
        <s v="CHP0243A" u="1"/>
        <s v="DGF0296A" u="1"/>
        <s v="CHP0219" u="1"/>
        <s v="KOT0011" u="1"/>
        <s v="MOL0027" u="1"/>
        <s v="RAV0016" u="1"/>
        <s v="DGF0076" u="1"/>
        <s v="ELV0012" u="1"/>
        <s v="KOT0002" u="1"/>
        <s v="RAV0007" u="1"/>
        <s v="VAL0457" u="1"/>
        <s v="DGF0067" u="1"/>
        <s v="DOB0066" u="1"/>
        <s v="KOT0105" u="1"/>
        <s v="LDT0017" u="1"/>
        <s v="LDT0054" u="1"/>
        <s v="CHP0141A" u="1"/>
        <s v="ABS0003" u="1"/>
        <s v="CHP0266" u="1"/>
        <s v="DGF0058" u="1"/>
        <s v="MKN0056" u="1"/>
        <s v="VAL0013C" u="1"/>
      </sharedItems>
    </cacheField>
    <cacheField name="Material Description" numFmtId="0">
      <sharedItems containsNonDate="0" containsString="0" containsBlank="1"/>
    </cacheField>
    <cacheField name="Plant" numFmtId="0">
      <sharedItems containsNonDate="0" containsString="0" containsBlank="1"/>
    </cacheField>
    <cacheField name="Name 1" numFmtId="0">
      <sharedItems containsNonDate="0" containsString="0" containsBlank="1"/>
    </cacheField>
    <cacheField name="Purchasing Document" numFmtId="0">
      <sharedItems containsNonDate="0" containsString="0" containsBlank="1"/>
    </cacheField>
    <cacheField name="Item" numFmtId="0">
      <sharedItems containsNonDate="0" containsString="0" containsBlank="1"/>
    </cacheField>
    <cacheField name="Supplying Plant" numFmtId="0">
      <sharedItems containsNonDate="0" containsString="0" containsBlank="1"/>
    </cacheField>
    <cacheField name="Special Stock" numFmtId="0">
      <sharedItems containsNonDate="0" containsString="0" containsBlank="1"/>
    </cacheField>
    <cacheField name="Quantity" numFmtId="0">
      <sharedItems containsNonDate="0" containsString="0" containsBlank="1"/>
    </cacheField>
    <cacheField name="Base Unit of Measure" numFmtId="0">
      <sharedItems containsNonDate="0" containsString="0" containsBlank="1"/>
    </cacheField>
    <cacheField name="Amount in LC" numFmtId="0">
      <sharedItems containsNonDate="0" containsString="0" containsBlank="1"/>
    </cacheField>
    <cacheField name="Currency" numFmtId="0">
      <sharedItems containsNonDate="0" containsString="0" containsBlank="1"/>
    </cacheField>
    <cacheField name="Order Quantity" numFmtId="0">
      <sharedItems containsNonDate="0" containsString="0" containsBlank="1"/>
    </cacheField>
    <cacheField name="Order Unit" numFmtId="0">
      <sharedItems containsNonDate="0" containsString="0" containsBlank="1"/>
    </cacheField>
    <cacheField name="Net Order Value" numFmtId="0">
      <sharedItems containsNonDate="0" containsString="0" containsBlank="1"/>
    </cacheField>
    <cacheField name="Currency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Julian Passebecq  Ghanty" refreshedDate="43003.670023032406" createdVersion="4" refreshedVersion="4" minRefreshableVersion="3" recordCount="143">
  <cacheSource type="worksheet">
    <worksheetSource ref="B1:AQ1048576" sheet="Open PO Data"/>
  </cacheSource>
  <cacheFields count="42">
    <cacheField name="Plant Name" numFmtId="0">
      <sharedItems containsBlank="1"/>
    </cacheField>
    <cacheField name="Purchase Group" numFmtId="0">
      <sharedItems containsBlank="1"/>
    </cacheField>
    <cacheField name="Vender Code" numFmtId="0">
      <sharedItems containsString="0" containsBlank="1" containsNumber="1" containsInteger="1" minValue="100031" maxValue="100031"/>
    </cacheField>
    <cacheField name="Vender Name" numFmtId="0">
      <sharedItems containsBlank="1"/>
    </cacheField>
    <cacheField name="PO Num" numFmtId="0">
      <sharedItems containsString="0" containsBlank="1" containsNumber="1" containsInteger="1" minValue="4500017484" maxValue="4500019906" count="33">
        <n v="4500018952"/>
        <n v="4500019329"/>
        <n v="4500019402"/>
        <n v="4500019469"/>
        <n v="4500019584"/>
        <n v="4500019652"/>
        <n v="4500019735"/>
        <n v="4500019878"/>
        <n v="4500019879"/>
        <n v="4500019906"/>
        <m/>
        <n v="4500019073" u="1"/>
        <n v="4500019224" u="1"/>
        <n v="4500018943" u="1"/>
        <n v="4500019582" u="1"/>
        <n v="4500017597" u="1"/>
        <n v="4500017952" u="1"/>
        <n v="4500019523" u="1"/>
        <n v="4500018853" u="1"/>
        <n v="4500019072" u="1"/>
        <n v="4500019152" u="1"/>
        <n v="4500019223" u="1"/>
        <n v="4500017889" u="1"/>
        <n v="4500019451" u="1"/>
        <n v="4500019522" u="1"/>
        <n v="4500018852" u="1"/>
        <n v="4500019642" u="1"/>
        <n v="4500019151" u="1"/>
        <n v="4500019222" u="1"/>
        <n v="4500017484" u="1"/>
        <n v="4500019583" u="1"/>
        <n v="4500018416" u="1"/>
        <n v="4500019524" u="1"/>
      </sharedItems>
    </cacheField>
    <cacheField name="PO Line Num" numFmtId="0">
      <sharedItems containsString="0" containsBlank="1" containsNumber="1" containsInteger="1" minValue="10" maxValue="580"/>
    </cacheField>
    <cacheField name="DN Complete" numFmtId="0">
      <sharedItems containsBlank="1"/>
    </cacheField>
    <cacheField name="Shipping Type" numFmtId="0">
      <sharedItems containsBlank="1"/>
    </cacheField>
    <cacheField name="Prod Hierarchy 1" numFmtId="0">
      <sharedItems containsBlank="1"/>
    </cacheField>
    <cacheField name="Prod Hierarchy 2" numFmtId="0">
      <sharedItems containsBlank="1"/>
    </cacheField>
    <cacheField name="Prod Hierarchy 3" numFmtId="0">
      <sharedItems containsBlank="1"/>
    </cacheField>
    <cacheField name="Prod Hierarchy 4" numFmtId="0">
      <sharedItems containsBlank="1"/>
    </cacheField>
    <cacheField name="Material Group" numFmtId="0">
      <sharedItems containsBlank="1"/>
    </cacheField>
    <cacheField name="Material" numFmtId="0">
      <sharedItems containsBlank="1" count="130">
        <s v="VAL0004A"/>
        <s v="VAL0495"/>
        <s v="VAL0083B"/>
        <s v="VAL0001B"/>
        <s v="VAL0002B"/>
        <s v="VAL0005B"/>
        <s v="VAL0006B"/>
        <s v="VAL0012"/>
        <s v="VAL0013C"/>
        <s v="VAL0108"/>
        <s v="VAL0311A"/>
        <s v="VAL0411A"/>
        <s v="VAL0003B"/>
        <s v="VAL0450"/>
        <s v="VAL0485"/>
        <s v="VAL0002C"/>
        <s v="VAL0042"/>
        <s v="VAL0271A"/>
        <s v="VAL0527"/>
        <s v="VAL0046B"/>
        <s v="VAL0219B"/>
        <s v="VAL0526"/>
        <s v="VAL0532"/>
        <s v="VAL0535"/>
        <s v="VAL0536"/>
        <s v="VAL0537"/>
        <s v="VAL0001C"/>
        <s v="VAL0005C"/>
        <s v="VAL0006C"/>
        <s v="VAL0036"/>
        <s v="VAL0054B"/>
        <s v="VAL0077B"/>
        <s v="VAL0084"/>
        <s v="VAL0107B"/>
        <s v="VAL0123"/>
        <s v="VAL0124"/>
        <s v="VAL0225"/>
        <s v="VAL0418"/>
        <s v="VAL0433"/>
        <s v="VAL0453"/>
        <s v="VAL0456"/>
        <s v="VAL0457"/>
        <s v="VAL0509"/>
        <s v="VAL0510"/>
        <s v="VAL0511"/>
        <s v="VAL0512"/>
        <s v="VAL0525"/>
        <s v="VAL0530"/>
        <s v="VAL0534"/>
        <s v="VAL0008A"/>
        <s v="VAL0015"/>
        <s v="VAL0017"/>
        <s v="VAL0018"/>
        <s v="VAL0019"/>
        <s v="VAL0023"/>
        <s v="VAL0030"/>
        <s v="VAL0046"/>
        <s v="VAL0062B"/>
        <s v="VAL0069"/>
        <s v="VAL0085A"/>
        <s v="VAL0089"/>
        <s v="VAL0220"/>
        <s v="VAL0227"/>
        <s v="VAL0265A"/>
        <s v="VAL0268"/>
        <s v="VAL0277"/>
        <s v="VAL0279"/>
        <s v="VAL0281A"/>
        <s v="VAL0282"/>
        <s v="VAL0284"/>
        <s v="VAL0286"/>
        <s v="VAL0288A"/>
        <s v="VAL0289"/>
        <s v="VAL0294"/>
        <s v="VAL0296"/>
        <s v="VAL0297"/>
        <s v="VAL0300"/>
        <s v="VAL0389"/>
        <s v="VAL0391A"/>
        <s v="VAL0399"/>
        <s v="VAL0403"/>
        <s v="VAL0408A"/>
        <s v="VAL0460"/>
        <s v="VAL0463"/>
        <s v="VAL0465"/>
        <s v="VAL0468"/>
        <s v="VAL0469"/>
        <s v="VAL0470"/>
        <s v="VAL0473"/>
        <s v="VAL0500A"/>
        <s v="VAL0501A"/>
        <s v="VAL0504A"/>
        <s v="VAL0505A"/>
        <s v="VAL0506A"/>
        <s v="VAL0508A"/>
        <s v="VAL0524"/>
        <s v="VAL0219V"/>
        <m/>
        <s v="EMM0001" u="1"/>
        <s v="EMM0002" u="1"/>
        <s v="EMM0021" u="1"/>
        <s v="EMM0012" u="1"/>
        <s v="EMM0003" u="1"/>
        <s v="EMM0022" u="1"/>
        <s v="EMM0004" u="1"/>
        <s v="EMM0041" u="1"/>
        <s v="EMM0005" u="1"/>
        <s v="EMM0042" u="1"/>
        <s v="EMM0006" u="1"/>
        <s v="EMM0025" u="1"/>
        <s v="EMM0053" u="1"/>
        <s v="EMM0007" u="1"/>
        <s v="EMM0044" u="1"/>
        <s v="EMM0045" u="1"/>
        <s v="EMM0014A" u="1"/>
        <s v="EMM0027" u="1"/>
        <s v="EMM0055" u="1"/>
        <s v="EMM0037" u="1"/>
        <s v="EMM0015A" u="1"/>
        <s v="EMM0056" u="1"/>
        <s v="EMM0034A" u="1"/>
        <s v="EMM0016A" u="1"/>
        <s v="EMM0057" u="1"/>
        <s v="EMM0035A" u="1"/>
        <s v="EMM0017A" u="1"/>
        <s v="EMM0058" u="1"/>
        <s v="EMM0049" u="1"/>
        <s v="EMM0018A" u="1"/>
        <s v="VAL0066A" u="1"/>
        <s v="EMM0019A" u="1"/>
      </sharedItems>
    </cacheField>
    <cacheField name="Material EN" numFmtId="0">
      <sharedItems containsBlank="1"/>
    </cacheField>
    <cacheField name="Material CN" numFmtId="0">
      <sharedItems containsBlank="1"/>
    </cacheField>
    <cacheField name="PO Date" numFmtId="0">
      <sharedItems containsString="0" containsBlank="1" containsNumber="1" containsInteger="1" minValue="20170626" maxValue="20170921"/>
    </cacheField>
    <cacheField name="ETD" numFmtId="0">
      <sharedItems containsDate="1" containsBlank="1" containsMixedTypes="1" minDate="2017-10-18T00:00:00" maxDate="2017-10-19T00:00:00"/>
    </cacheField>
    <cacheField name="ETA" numFmtId="0">
      <sharedItems containsString="0" containsBlank="1" containsNumber="1" containsInteger="1" minValue="20161207" maxValue="20171118" count="29">
        <n v="20161207"/>
        <n v="20170916"/>
        <n v="20170827"/>
        <n v="20170915"/>
        <n v="20171016"/>
        <n v="20170924"/>
        <n v="20170918"/>
        <n v="20171118"/>
        <n v="20171018"/>
        <n v="20171008"/>
        <m/>
        <n v="20170907" u="1"/>
        <n v="20170909" u="1"/>
        <n v="20171020" u="1"/>
        <n v="20170926" u="1"/>
        <n v="20170927" u="1"/>
        <n v="20171101" u="1"/>
        <n v="20171102" u="1"/>
        <n v="20170913" u="1"/>
        <n v="20171009" u="1"/>
        <n v="20171025" u="1"/>
        <n v="20170425" u="1"/>
        <n v="20170413" u="1"/>
        <n v="20170601" u="1"/>
        <n v="20170712" u="1"/>
        <n v="20170823" u="1"/>
        <n v="20170525" u="1"/>
        <n v="20170906" u="1"/>
        <n v="20171017" u="1"/>
      </sharedItems>
    </cacheField>
    <cacheField name="GR date" numFmtId="0">
      <sharedItems containsString="0" containsBlank="1" containsNumber="1" containsInteger="1" minValue="0" maxValue="20170908"/>
    </cacheField>
    <cacheField name="PO Quantity" numFmtId="0">
      <sharedItems containsString="0" containsBlank="1" containsNumber="1" containsInteger="1" minValue="1" maxValue="12584"/>
    </cacheField>
    <cacheField name="Qty Uom" numFmtId="0">
      <sharedItems containsBlank="1"/>
    </cacheField>
    <cacheField name="PO Qty bas SKU" numFmtId="0">
      <sharedItems containsString="0" containsBlank="1" containsNumber="1" containsInteger="1" minValue="1" maxValue="12584"/>
    </cacheField>
    <cacheField name="Qty Uom2" numFmtId="0">
      <sharedItems containsBlank="1"/>
    </cacheField>
    <cacheField name="GR Qty" numFmtId="0">
      <sharedItems containsString="0" containsBlank="1" containsNumber="1" containsInteger="1" minValue="0" maxValue="110"/>
    </cacheField>
    <cacheField name="GR Uom" numFmtId="0">
      <sharedItems containsBlank="1"/>
    </cacheField>
    <cacheField name="GR Qty Base SKU" numFmtId="0">
      <sharedItems containsString="0" containsBlank="1" containsNumber="1" containsInteger="1" minValue="0" maxValue="110"/>
    </cacheField>
    <cacheField name="GR Uom2" numFmtId="0">
      <sharedItems containsBlank="1"/>
    </cacheField>
    <cacheField name="Net Weight" numFmtId="0">
      <sharedItems containsString="0" containsBlank="1" containsNumber="1" minValue="1.2" maxValue="18522"/>
    </cacheField>
    <cacheField name="Weight Uom" numFmtId="0">
      <sharedItems containsBlank="1"/>
    </cacheField>
    <cacheField name="Gross Weight" numFmtId="0">
      <sharedItems containsString="0" containsBlank="1" containsNumber="1" minValue="1.4" maxValue="20991.599999999999"/>
    </cacheField>
    <cacheField name="Weight Uom2" numFmtId="0">
      <sharedItems containsBlank="1"/>
    </cacheField>
    <cacheField name="Volume" numFmtId="0">
      <sharedItems containsString="0" containsBlank="1" containsNumber="1" minValue="0" maxValue="63987.336000000003"/>
    </cacheField>
    <cacheField name="Volume Uom" numFmtId="0">
      <sharedItems containsBlank="1"/>
    </cacheField>
    <cacheField name="Net Amount" numFmtId="0">
      <sharedItems containsString="0" containsBlank="1" containsNumber="1" minValue="30.45" maxValue="189557.85"/>
    </cacheField>
    <cacheField name="Import Cost" numFmtId="0">
      <sharedItems containsString="0" containsBlank="1" containsNumber="1" containsInteger="1" minValue="0" maxValue="0"/>
    </cacheField>
    <cacheField name="Custom" numFmtId="0">
      <sharedItems containsString="0" containsBlank="1" containsNumber="1" containsInteger="1" minValue="0" maxValue="0"/>
    </cacheField>
    <cacheField name="Currency" numFmtId="0">
      <sharedItems containsBlank="1"/>
    </cacheField>
    <cacheField name="Freight 1" numFmtId="0">
      <sharedItems containsString="0" containsBlank="1" containsNumber="1" containsInteger="1" minValue="0" maxValue="0"/>
    </cacheField>
    <cacheField name="F1 Cur" numFmtId="0">
      <sharedItems containsNonDate="0" containsString="0" containsBlank="1"/>
    </cacheField>
    <cacheField name="Freight 2" numFmtId="0">
      <sharedItems containsString="0" containsBlank="1" containsNumber="1" containsInteger="1" minValue="0" maxValue="0"/>
    </cacheField>
    <cacheField name="F1 Cur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m/>
    <m/>
    <m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x v="0"/>
    <m/>
    <m/>
    <m/>
  </r>
  <r>
    <m/>
    <m/>
    <m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x v="0"/>
    <m/>
    <m/>
    <m/>
  </r>
  <r>
    <m/>
    <m/>
    <m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x v="0"/>
    <m/>
    <m/>
    <m/>
  </r>
  <r>
    <m/>
    <m/>
    <m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">
  <r>
    <m/>
    <x v="0"/>
    <m/>
    <m/>
    <m/>
    <x v="0"/>
    <m/>
    <m/>
    <m/>
    <m/>
    <m/>
    <m/>
    <m/>
    <m/>
    <m/>
  </r>
  <r>
    <m/>
    <x v="0"/>
    <m/>
    <m/>
    <m/>
    <x v="0"/>
    <m/>
    <m/>
    <m/>
    <m/>
    <m/>
    <m/>
    <m/>
    <m/>
    <m/>
  </r>
  <r>
    <m/>
    <x v="0"/>
    <m/>
    <m/>
    <m/>
    <x v="0"/>
    <m/>
    <m/>
    <m/>
    <m/>
    <m/>
    <m/>
    <m/>
    <m/>
    <m/>
  </r>
  <r>
    <m/>
    <x v="0"/>
    <m/>
    <m/>
    <m/>
    <x v="0"/>
    <m/>
    <m/>
    <m/>
    <m/>
    <m/>
    <m/>
    <m/>
    <m/>
    <m/>
  </r>
  <r>
    <m/>
    <x v="0"/>
    <m/>
    <m/>
    <m/>
    <x v="0"/>
    <m/>
    <m/>
    <m/>
    <m/>
    <m/>
    <m/>
    <m/>
    <m/>
    <m/>
  </r>
  <r>
    <m/>
    <x v="0"/>
    <m/>
    <m/>
    <m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">
  <r>
    <x v="0"/>
    <m/>
    <m/>
    <m/>
    <m/>
    <m/>
    <m/>
    <m/>
    <m/>
    <m/>
    <m/>
    <m/>
    <m/>
    <m/>
    <n v="0"/>
    <n v="-43003"/>
    <e v="#DIV/0!"/>
    <e v="#DIV/0!"/>
    <e v="#DIV/0!"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">
  <r>
    <x v="0"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43">
  <r>
    <s v="SINODIS ShangHai"/>
    <s v="Amanda"/>
    <n v="100031"/>
    <s v="VALRHONA SAS"/>
    <x v="0"/>
    <n v="350"/>
    <m/>
    <s v="SEA SHIPMENT"/>
    <s v="Pastry"/>
    <s v="Chocolate"/>
    <s v="Service item"/>
    <s v="Cocoa paste"/>
    <s v="Valrhona"/>
    <x v="0"/>
    <s v="VALRHONA COCOA PASTE (100%) BLOCK 3KG"/>
    <s v="法芙娜可可酱砖(100%) 3KG"/>
    <n v="20170626"/>
    <s v="2017.07.06"/>
    <x v="0"/>
    <n v="20170817"/>
    <n v="20"/>
    <s v="EA"/>
    <n v="20"/>
    <s v="EA"/>
    <n v="18"/>
    <s v="EA"/>
    <n v="18"/>
    <s v="EA"/>
    <n v="60"/>
    <s v="KG"/>
    <n v="63.2"/>
    <s v="KG"/>
    <n v="59.2"/>
    <s v="CD3"/>
    <n v="737.48"/>
    <n v="0"/>
    <n v="0"/>
    <s v="EUR"/>
    <n v="0"/>
    <m/>
    <n v="0"/>
    <m/>
  </r>
  <r>
    <s v="SINODIS ShangHai"/>
    <s v="Amanda"/>
    <n v="100031"/>
    <s v="VALRHONA SAS"/>
    <x v="0"/>
    <n v="560"/>
    <s v="X"/>
    <s v="SEA SHIPMENT"/>
    <s v="Pastry"/>
    <s v="Chocolate"/>
    <s v="Couverture"/>
    <s v="Grands Crus"/>
    <s v="Valrhona"/>
    <x v="1"/>
    <s v="VALRHONA BAHIBE (46%) BAG OF FEVES 3KG"/>
    <s v="法芙娜百益贝牛奶巧克力豆（46%) 3公斤"/>
    <n v="20170626"/>
    <s v="2017.07.06"/>
    <x v="0"/>
    <n v="20170817"/>
    <n v="21"/>
    <s v="EA"/>
    <n v="21"/>
    <s v="EA"/>
    <n v="20"/>
    <s v="EA"/>
    <n v="20"/>
    <s v="EA"/>
    <n v="63"/>
    <s v="KG"/>
    <n v="73.5"/>
    <s v="KG"/>
    <n v="109.62"/>
    <s v="CD3"/>
    <n v="674.13"/>
    <n v="0"/>
    <n v="0"/>
    <s v="EUR"/>
    <n v="0"/>
    <m/>
    <n v="0"/>
    <m/>
  </r>
  <r>
    <s v="SINODIS ShangHai"/>
    <s v="Amanda"/>
    <n v="100031"/>
    <s v="VALRHONA SAS"/>
    <x v="0"/>
    <n v="580"/>
    <s v="X"/>
    <s v="SEA SHIPMENT"/>
    <s v="Pastry"/>
    <s v="Chocolate"/>
    <s v="Couverture"/>
    <s v="Professional Signature"/>
    <s v="Valrhona"/>
    <x v="2"/>
    <s v="EQUA LACTEE 35% BKT OF FEVES 3Kg"/>
    <s v="法芙娜阨瓜多尔牛奶巧克力豆3KG"/>
    <n v="20170626"/>
    <s v="2017.07.06"/>
    <x v="0"/>
    <n v="20170817"/>
    <n v="111"/>
    <s v="EA"/>
    <n v="111"/>
    <s v="EA"/>
    <n v="110"/>
    <s v="EA"/>
    <n v="110"/>
    <s v="EA"/>
    <n v="333"/>
    <s v="KG"/>
    <n v="338.55"/>
    <s v="KG"/>
    <n v="743.58900000000006"/>
    <s v="CD3"/>
    <n v="3040.82"/>
    <n v="0"/>
    <n v="0"/>
    <s v="EUR"/>
    <n v="0"/>
    <m/>
    <n v="0"/>
    <m/>
  </r>
  <r>
    <s v="SINODIS ShangHai"/>
    <s v="Katrina WANG"/>
    <n v="100031"/>
    <s v="VALRHONA SAS"/>
    <x v="1"/>
    <n v="10"/>
    <m/>
    <s v="SEA SHIPMENT"/>
    <s v="Pastry"/>
    <s v="Chocolate"/>
    <s v="Couverture"/>
    <s v="Grands Crus"/>
    <s v="Valrhona"/>
    <x v="3"/>
    <s v="GUANAJA 70% BKTS OF FEVES 3Kg"/>
    <s v="法芙娜圭那亚巧克力豆（70％）3KG"/>
    <n v="20170802"/>
    <s v="2017.08.07"/>
    <x v="1"/>
    <n v="0"/>
    <n v="216"/>
    <s v="EA"/>
    <n v="216"/>
    <s v="EA"/>
    <n v="0"/>
    <m/>
    <n v="0"/>
    <m/>
    <n v="648"/>
    <s v="KG"/>
    <n v="682.56"/>
    <s v="KG"/>
    <n v="1439.424"/>
    <s v="CD3"/>
    <n v="7092.1"/>
    <n v="0"/>
    <n v="0"/>
    <s v="EUR"/>
    <n v="0"/>
    <m/>
    <n v="0"/>
    <m/>
  </r>
  <r>
    <s v="SINODIS ShangHai"/>
    <s v="Katrina WANG"/>
    <n v="100031"/>
    <s v="VALRHONA SAS"/>
    <x v="1"/>
    <n v="30"/>
    <m/>
    <s v="SEA SHIPMENT"/>
    <s v="Pastry"/>
    <s v="Chocolate"/>
    <s v="Couverture"/>
    <s v="Grands Crus"/>
    <s v="Valrhona"/>
    <x v="4"/>
    <s v="CARAIBE 66% BKTS OF FEVES 3Kg"/>
    <s v="法芙娜加勒比巧克力豆（66％）3KG"/>
    <n v="20170802"/>
    <s v="2017.08.07"/>
    <x v="1"/>
    <n v="0"/>
    <n v="648"/>
    <s v="EA"/>
    <n v="648"/>
    <s v="EA"/>
    <n v="0"/>
    <m/>
    <n v="0"/>
    <m/>
    <n v="1944"/>
    <s v="KG"/>
    <n v="2047.68"/>
    <s v="KG"/>
    <n v="4318.2719999999999"/>
    <s v="CD3"/>
    <n v="21228.48"/>
    <n v="0"/>
    <n v="0"/>
    <s v="EUR"/>
    <n v="0"/>
    <m/>
    <n v="0"/>
    <m/>
  </r>
  <r>
    <s v="SINODIS ShangHai"/>
    <s v="Katrina WANG"/>
    <n v="100031"/>
    <s v="VALRHONA SAS"/>
    <x v="1"/>
    <n v="60"/>
    <m/>
    <s v="SEA SHIPMENT"/>
    <s v="Pastry"/>
    <s v="Chocolate"/>
    <s v="Couverture"/>
    <s v="Grands Crus"/>
    <s v="Valrhona"/>
    <x v="5"/>
    <s v="JIVARA LACTEE 40% BKTS OF FEVES 3Kg"/>
    <s v="法芙娜吉瓦那巧克力豆(40％)3KG"/>
    <n v="20170802"/>
    <s v="2017.08.07"/>
    <x v="1"/>
    <n v="0"/>
    <n v="648"/>
    <s v="EA"/>
    <n v="648"/>
    <s v="EA"/>
    <n v="0"/>
    <m/>
    <n v="0"/>
    <m/>
    <n v="1944"/>
    <s v="KG"/>
    <n v="2047.68"/>
    <s v="KG"/>
    <n v="4632.5519999999997"/>
    <s v="CD3"/>
    <n v="20392.560000000001"/>
    <n v="0"/>
    <n v="0"/>
    <s v="EUR"/>
    <n v="0"/>
    <m/>
    <n v="0"/>
    <m/>
  </r>
  <r>
    <s v="SINODIS ShangHai"/>
    <s v="Katrina WANG"/>
    <n v="100031"/>
    <s v="VALRHONA SAS"/>
    <x v="1"/>
    <n v="70"/>
    <m/>
    <s v="SEA SHIPMENT"/>
    <s v="Pastry"/>
    <s v="Chocolate"/>
    <s v="Couverture"/>
    <s v="Gourmet Creation"/>
    <s v="Valrhona"/>
    <x v="6"/>
    <s v="IVOIRE WHT CHOCS BKTS OF FEVES 3Kg"/>
    <s v="法芙娜白色巧克力豆 3KG"/>
    <n v="20170802"/>
    <s v="2017.08.07"/>
    <x v="1"/>
    <n v="0"/>
    <n v="864"/>
    <s v="EA"/>
    <n v="864"/>
    <s v="EA"/>
    <n v="0"/>
    <m/>
    <n v="0"/>
    <m/>
    <n v="2592"/>
    <s v="KG"/>
    <n v="2730.24"/>
    <s v="KG"/>
    <n v="5787.9359999999997"/>
    <s v="CD3"/>
    <n v="28598.57"/>
    <n v="0"/>
    <n v="0"/>
    <s v="EUR"/>
    <n v="0"/>
    <m/>
    <n v="0"/>
    <m/>
  </r>
  <r>
    <s v="SINODIS ShangHai"/>
    <s v="Katrina WANG"/>
    <n v="100031"/>
    <s v="VALRHONA SAS"/>
    <x v="1"/>
    <n v="80"/>
    <m/>
    <s v="SEA SHIPMENT"/>
    <s v="Pastry"/>
    <s v="Chocolate"/>
    <s v="Service item"/>
    <s v="Cocoa powder"/>
    <s v="Valrhona"/>
    <x v="7"/>
    <s v="VALRHONA COCOA POWDER 3KG/BOX"/>
    <s v="法芙娜可可粉（100％）3KG/盒"/>
    <n v="20170802"/>
    <s v="2017.08.07"/>
    <x v="1"/>
    <n v="0"/>
    <n v="864"/>
    <s v="EA"/>
    <n v="864"/>
    <s v="EA"/>
    <n v="0"/>
    <m/>
    <n v="0"/>
    <m/>
    <n v="2592"/>
    <s v="KG"/>
    <n v="2937.6"/>
    <s v="KG"/>
    <n v="8954.4959999999992"/>
    <s v="CD3"/>
    <n v="26516.16"/>
    <n v="0"/>
    <n v="0"/>
    <s v="EUR"/>
    <n v="0"/>
    <m/>
    <n v="0"/>
    <m/>
  </r>
  <r>
    <s v="SINODIS ShangHai"/>
    <s v="Katrina WANG"/>
    <n v="100031"/>
    <s v="VALRHONA SAS"/>
    <x v="1"/>
    <n v="90"/>
    <m/>
    <s v="SEA SHIPMENT"/>
    <s v="Pastry"/>
    <s v="Nuts"/>
    <s v="Paste"/>
    <s v="Praline"/>
    <s v="Valrhona"/>
    <x v="8"/>
    <s v="VALRHONA HAZELNUTS PRALINE(60%) 5KG"/>
    <s v="法芙娜榛果酱(60%) 5KG/桶"/>
    <n v="20170802"/>
    <s v="2017.08.07"/>
    <x v="1"/>
    <n v="0"/>
    <n v="140"/>
    <s v="EA"/>
    <n v="140"/>
    <s v="EA"/>
    <n v="0"/>
    <m/>
    <n v="0"/>
    <m/>
    <n v="700"/>
    <s v="KG"/>
    <n v="736.4"/>
    <s v="KG"/>
    <n v="1360.8"/>
    <s v="CD3"/>
    <n v="9912"/>
    <n v="0"/>
    <n v="0"/>
    <s v="EUR"/>
    <n v="0"/>
    <m/>
    <n v="0"/>
    <m/>
  </r>
  <r>
    <s v="SINODIS ShangHai"/>
    <s v="Katrina WANG"/>
    <n v="100031"/>
    <s v="VALRHONA SAS"/>
    <x v="1"/>
    <n v="170"/>
    <m/>
    <s v="SEA SHIPMENT"/>
    <s v="Pastry"/>
    <s v="Chocolate"/>
    <s v="Filling"/>
    <s v="Drops"/>
    <s v="Valrhona"/>
    <x v="9"/>
    <s v="VALRHONA CRUNCHY PEARLS 3KG"/>
    <s v="法芙娜香脆珍珠形巧克力制品"/>
    <n v="20170802"/>
    <s v="2017.08.07"/>
    <x v="1"/>
    <n v="0"/>
    <n v="216"/>
    <s v="EA"/>
    <n v="216"/>
    <s v="EA"/>
    <n v="0"/>
    <m/>
    <n v="0"/>
    <m/>
    <n v="648"/>
    <s v="KG"/>
    <n v="712.8"/>
    <s v="KG"/>
    <n v="1439.424"/>
    <s v="CD3"/>
    <n v="6473.52"/>
    <n v="0"/>
    <n v="0"/>
    <s v="EUR"/>
    <n v="0"/>
    <m/>
    <n v="0"/>
    <m/>
  </r>
  <r>
    <s v="SINODIS ShangHai"/>
    <s v="Katrina WANG"/>
    <n v="100031"/>
    <s v="VALRHONA SAS"/>
    <x v="1"/>
    <n v="200"/>
    <m/>
    <s v="SEA SHIPMENT"/>
    <s v="Pastry"/>
    <s v="Chocolate"/>
    <s v="Couverture"/>
    <s v="Professional Signature"/>
    <s v="Valrhona"/>
    <x v="10"/>
    <s v="SAT DRK 62% BOX FEVES 12Kg"/>
    <s v="法芙娜萨蒂利亚黑巧克力12KG（62％）"/>
    <n v="20170802"/>
    <s v="2017.08.07"/>
    <x v="1"/>
    <n v="0"/>
    <n v="84"/>
    <s v="EA"/>
    <n v="84"/>
    <s v="EA"/>
    <n v="0"/>
    <m/>
    <n v="0"/>
    <m/>
    <n v="1008"/>
    <s v="KG"/>
    <n v="1108.8"/>
    <s v="KG"/>
    <n v="1512"/>
    <s v="CD3"/>
    <n v="7183.21"/>
    <n v="0"/>
    <n v="0"/>
    <s v="EUR"/>
    <n v="0"/>
    <m/>
    <n v="0"/>
    <m/>
  </r>
  <r>
    <s v="SINODIS BeiJing"/>
    <s v="Katrina WANG"/>
    <n v="100031"/>
    <s v="VALRHONA SAS"/>
    <x v="2"/>
    <n v="230"/>
    <m/>
    <s v="air shipment"/>
    <s v="Pastry"/>
    <s v="Chocolate"/>
    <s v="Candy"/>
    <s v="Gift Box"/>
    <s v="Valrhona"/>
    <x v="11"/>
    <s v="ALMOND HAZELNUT DARK, MILK &amp; DULCEY CHOC"/>
    <s v="法芙娜什锦杏仁榛子夹心巧克力糖150克"/>
    <n v="20170807"/>
    <s v="2017.08.26"/>
    <x v="2"/>
    <n v="20170908"/>
    <n v="32"/>
    <s v="KAR"/>
    <n v="32"/>
    <s v="KAR"/>
    <n v="4"/>
    <s v="KAR"/>
    <n v="4"/>
    <s v="KAR"/>
    <n v="38.4"/>
    <s v="KG"/>
    <n v="38.4"/>
    <s v="KG"/>
    <n v="133.12"/>
    <s v="CD3"/>
    <n v="1476.48"/>
    <n v="0"/>
    <n v="0"/>
    <s v="EUR"/>
    <n v="0"/>
    <m/>
    <n v="0"/>
    <m/>
  </r>
  <r>
    <s v="SINODIS ShangHai"/>
    <s v="Katrina WANG"/>
    <n v="100031"/>
    <s v="VALRHONA SAS"/>
    <x v="3"/>
    <n v="10"/>
    <m/>
    <s v="SEA SHIPMENT"/>
    <s v="Pastry"/>
    <s v="Chocolate"/>
    <s v="Couverture"/>
    <s v="Grands Crus"/>
    <s v="Valrhona"/>
    <x v="3"/>
    <s v="GUANAJA 70% BKTS OF FEVES 3Kg"/>
    <s v="法芙娜圭那亚巧克力豆（70％）3KG"/>
    <n v="20170815"/>
    <s v="2017.08.07"/>
    <x v="3"/>
    <n v="0"/>
    <n v="432"/>
    <s v="EA"/>
    <n v="432"/>
    <s v="EA"/>
    <n v="0"/>
    <m/>
    <n v="0"/>
    <m/>
    <n v="1296"/>
    <s v="KG"/>
    <n v="1365.12"/>
    <s v="KG"/>
    <n v="2878.848"/>
    <s v="CD3"/>
    <n v="14443.14"/>
    <n v="0"/>
    <n v="0"/>
    <s v="EUR"/>
    <n v="0"/>
    <m/>
    <n v="0"/>
    <m/>
  </r>
  <r>
    <s v="SINODIS ShangHai"/>
    <s v="Katrina WANG"/>
    <n v="100031"/>
    <s v="VALRHONA SAS"/>
    <x v="3"/>
    <n v="20"/>
    <m/>
    <s v="SEA SHIPMENT"/>
    <s v="Pastry"/>
    <s v="Chocolate"/>
    <s v="Couverture"/>
    <s v="Professional Signature"/>
    <s v="Valrhona"/>
    <x v="12"/>
    <s v="EQUA NOIR 55% BKTS OF FEVES 3Kg"/>
    <s v="法芙娜阨瓜多爾巧克力豆（55％）3KG"/>
    <n v="20170815"/>
    <s v="2017.08.07"/>
    <x v="3"/>
    <n v="0"/>
    <n v="216"/>
    <s v="EA"/>
    <n v="216"/>
    <s v="EA"/>
    <n v="0"/>
    <m/>
    <n v="0"/>
    <m/>
    <n v="648"/>
    <s v="KG"/>
    <n v="682.56"/>
    <s v="KG"/>
    <n v="1490.8320000000001"/>
    <s v="CD3"/>
    <n v="5634.36"/>
    <n v="0"/>
    <n v="0"/>
    <s v="EUR"/>
    <n v="0"/>
    <m/>
    <n v="0"/>
    <m/>
  </r>
  <r>
    <s v="SINODIS ShangHai"/>
    <s v="Katrina WANG"/>
    <n v="100031"/>
    <s v="VALRHONA SAS"/>
    <x v="3"/>
    <n v="30"/>
    <m/>
    <s v="SEA SHIPMENT"/>
    <s v="Pastry"/>
    <s v="Chocolate"/>
    <s v="Couverture"/>
    <s v="Grands Crus"/>
    <s v="Valrhona"/>
    <x v="5"/>
    <s v="JIVARA LACTEE 40% BKTS OF FEVES 3Kg"/>
    <s v="法芙娜吉瓦那巧克力豆(40％)3KG"/>
    <n v="20170815"/>
    <s v="2017.08.07"/>
    <x v="3"/>
    <n v="0"/>
    <n v="216"/>
    <s v="EA"/>
    <n v="216"/>
    <s v="EA"/>
    <n v="0"/>
    <m/>
    <n v="0"/>
    <m/>
    <n v="648"/>
    <s v="KG"/>
    <n v="682.56"/>
    <s v="KG"/>
    <n v="1544.184"/>
    <s v="CD3"/>
    <n v="6794.8"/>
    <n v="0"/>
    <n v="0"/>
    <s v="EUR"/>
    <n v="0"/>
    <m/>
    <n v="0"/>
    <m/>
  </r>
  <r>
    <s v="SINODIS ShangHai"/>
    <s v="Katrina WANG"/>
    <n v="100031"/>
    <s v="VALRHONA SAS"/>
    <x v="3"/>
    <n v="40"/>
    <m/>
    <s v="SEA SHIPMENT"/>
    <s v="Pastry"/>
    <s v="Chocolate"/>
    <s v="Couverture"/>
    <s v="Gourmet Creation"/>
    <s v="Valrhona"/>
    <x v="6"/>
    <s v="IVOIRE WHT CHOCS BKTS OF FEVES 3Kg"/>
    <s v="法芙娜白色巧克力豆 3KG"/>
    <n v="20170815"/>
    <s v="2017.08.07"/>
    <x v="3"/>
    <n v="0"/>
    <n v="864"/>
    <s v="EA"/>
    <n v="864"/>
    <s v="EA"/>
    <n v="0"/>
    <m/>
    <n v="0"/>
    <m/>
    <n v="2592"/>
    <s v="KG"/>
    <n v="2730.24"/>
    <s v="KG"/>
    <n v="5787.9359999999997"/>
    <s v="CD3"/>
    <n v="29116.45"/>
    <n v="0"/>
    <n v="0"/>
    <s v="EUR"/>
    <n v="0"/>
    <m/>
    <n v="0"/>
    <m/>
  </r>
  <r>
    <s v="SINODIS ShangHai"/>
    <s v="Katrina WANG"/>
    <n v="100031"/>
    <s v="VALRHONA SAS"/>
    <x v="3"/>
    <n v="50"/>
    <m/>
    <s v="SEA SHIPMENT"/>
    <s v="Pastry"/>
    <s v="Chocolate"/>
    <s v="Service item"/>
    <s v="Cocoa powder"/>
    <s v="Valrhona"/>
    <x v="7"/>
    <s v="VALRHONA COCOA POWDER 3KG/BOX"/>
    <s v="法芙娜可可粉（100％）3KG/盒"/>
    <n v="20170815"/>
    <s v="2017.08.07"/>
    <x v="3"/>
    <n v="0"/>
    <n v="720"/>
    <s v="EA"/>
    <n v="720"/>
    <s v="EA"/>
    <n v="0"/>
    <m/>
    <n v="0"/>
    <m/>
    <n v="2160"/>
    <s v="KG"/>
    <n v="2448"/>
    <s v="KG"/>
    <n v="7462.08"/>
    <s v="CD3"/>
    <n v="22105.87"/>
    <n v="0"/>
    <n v="0"/>
    <s v="EUR"/>
    <n v="0"/>
    <m/>
    <n v="0"/>
    <m/>
  </r>
  <r>
    <s v="SINODIS ShangHai"/>
    <s v="Katrina WANG"/>
    <n v="100031"/>
    <s v="VALRHONA SAS"/>
    <x v="3"/>
    <n v="60"/>
    <m/>
    <s v="SEA SHIPMENT"/>
    <s v="Pastry"/>
    <s v="Chocolate"/>
    <s v="Filling"/>
    <s v="Drops"/>
    <s v="Valrhona"/>
    <x v="9"/>
    <s v="VALRHONA CRUNCHY PEARLS 3KG"/>
    <s v="法芙娜香脆珍珠形巧克力制品"/>
    <n v="20170815"/>
    <s v="2017.08.07"/>
    <x v="3"/>
    <n v="0"/>
    <n v="216"/>
    <s v="EA"/>
    <n v="216"/>
    <s v="EA"/>
    <n v="0"/>
    <m/>
    <n v="0"/>
    <m/>
    <n v="648"/>
    <s v="KG"/>
    <n v="712.8"/>
    <s v="KG"/>
    <n v="1439.424"/>
    <s v="CD3"/>
    <n v="6588.6"/>
    <n v="0"/>
    <n v="0"/>
    <s v="EUR"/>
    <n v="0"/>
    <m/>
    <n v="0"/>
    <m/>
  </r>
  <r>
    <s v="SINODIS ShangHai"/>
    <s v="Katrina WANG"/>
    <n v="100031"/>
    <s v="VALRHONA SAS"/>
    <x v="3"/>
    <n v="70"/>
    <m/>
    <s v="SEA SHIPMENT"/>
    <s v="Pastry"/>
    <s v="Chocolate"/>
    <s v="Couverture"/>
    <s v="Professional Signature"/>
    <s v="Valrhona"/>
    <x v="10"/>
    <s v="SAT DRK 62% BOX FEVES 12Kg"/>
    <s v="法芙娜萨蒂利亚黑巧克力12KG（62％）"/>
    <n v="20170815"/>
    <s v="2017.08.07"/>
    <x v="3"/>
    <n v="0"/>
    <n v="420"/>
    <s v="EA"/>
    <n v="420"/>
    <s v="EA"/>
    <n v="0"/>
    <m/>
    <n v="0"/>
    <m/>
    <n v="5040"/>
    <s v="KG"/>
    <n v="5544"/>
    <s v="KG"/>
    <n v="7560"/>
    <s v="CD3"/>
    <n v="38004.620000000003"/>
    <n v="0"/>
    <n v="0"/>
    <s v="EUR"/>
    <n v="0"/>
    <m/>
    <n v="0"/>
    <m/>
  </r>
  <r>
    <s v="SINODIS ShangHai"/>
    <s v="Katrina WANG"/>
    <n v="100031"/>
    <s v="VALRHONA SAS"/>
    <x v="3"/>
    <n v="80"/>
    <m/>
    <s v="SEA SHIPMENT"/>
    <s v="Pastry"/>
    <s v="Chocolate"/>
    <s v="Couverture"/>
    <s v="Gourmet Creation"/>
    <s v="Valrhona"/>
    <x v="13"/>
    <s v="VALRHONA OPALYS 33% WHITE CHOCOLATE BAG"/>
    <s v="法芙娜白巧克力豆（33%）3KG"/>
    <n v="20170815"/>
    <s v="2017.08.07"/>
    <x v="3"/>
    <n v="0"/>
    <n v="432"/>
    <s v="EA"/>
    <n v="432"/>
    <s v="EA"/>
    <n v="0"/>
    <m/>
    <n v="0"/>
    <m/>
    <n v="1296"/>
    <s v="KG"/>
    <n v="1512"/>
    <s v="KG"/>
    <n v="0"/>
    <s v="CD3"/>
    <n v="15603.58"/>
    <n v="0"/>
    <n v="0"/>
    <s v="EUR"/>
    <n v="0"/>
    <m/>
    <n v="0"/>
    <m/>
  </r>
  <r>
    <s v="SINODIS ShangHai"/>
    <s v="Katrina WANG"/>
    <n v="100031"/>
    <s v="VALRHONA SAS"/>
    <x v="3"/>
    <n v="90"/>
    <m/>
    <s v="SEA SHIPMENT"/>
    <s v="Pastry"/>
    <s v="Chocolate"/>
    <s v="Bars"/>
    <s v="Grands Crus"/>
    <s v="Valrhona"/>
    <x v="14"/>
    <s v="VALRHONA HOME COOKING COCOA POWDER 100%"/>
    <s v="法芙娜可可粉(100%)250克"/>
    <n v="20170815"/>
    <s v="2017.08.07"/>
    <x v="3"/>
    <n v="0"/>
    <n v="312"/>
    <s v="EA"/>
    <n v="312"/>
    <s v="EA"/>
    <n v="0"/>
    <m/>
    <n v="0"/>
    <m/>
    <n v="78"/>
    <s v="KG"/>
    <n v="93.6"/>
    <s v="KG"/>
    <n v="0"/>
    <s v="CD3"/>
    <n v="1179.3599999999999"/>
    <n v="0"/>
    <n v="0"/>
    <s v="EUR"/>
    <n v="0"/>
    <m/>
    <n v="0"/>
    <m/>
  </r>
  <r>
    <s v="SINODIS ShangHai"/>
    <s v="Katrina WANG"/>
    <n v="100031"/>
    <s v="VALRHONA SAS"/>
    <x v="4"/>
    <n v="10"/>
    <m/>
    <s v="SEA SHIPMENT"/>
    <s v="Pastry"/>
    <s v="Chocolate"/>
    <s v="Couverture"/>
    <s v="Grands Crus"/>
    <s v="Valrhona"/>
    <x v="3"/>
    <s v="GUANAJA 70% BKTS OF FEVES 3Kg"/>
    <s v="法芙娜圭那亚巧克力豆（70％）3KG"/>
    <n v="20170825"/>
    <s v="2017.09.16"/>
    <x v="4"/>
    <n v="0"/>
    <n v="310"/>
    <s v="EA"/>
    <n v="310"/>
    <s v="EA"/>
    <n v="0"/>
    <m/>
    <n v="0"/>
    <m/>
    <n v="930"/>
    <s v="KG"/>
    <n v="979.6"/>
    <s v="KG"/>
    <n v="2065.84"/>
    <s v="CD3"/>
    <n v="10364.290000000001"/>
    <n v="0"/>
    <n v="0"/>
    <s v="EUR"/>
    <n v="0"/>
    <m/>
    <n v="0"/>
    <m/>
  </r>
  <r>
    <s v="SINODIS ShangHai"/>
    <s v="Katrina WANG"/>
    <n v="100031"/>
    <s v="VALRHONA SAS"/>
    <x v="4"/>
    <n v="20"/>
    <m/>
    <s v="SEA SHIPMENT"/>
    <s v="Pastry"/>
    <s v="Chocolate"/>
    <s v="Couverture"/>
    <s v="Grands Crus"/>
    <s v="Valrhona"/>
    <x v="4"/>
    <s v="CARAIBE 66% BKTS OF FEVES 3Kg"/>
    <s v="法芙娜加勒比巧克力豆（66％）3KG"/>
    <n v="20170825"/>
    <s v="2017.09.16"/>
    <x v="4"/>
    <n v="0"/>
    <n v="1551"/>
    <s v="EA"/>
    <n v="1551"/>
    <s v="EA"/>
    <n v="0"/>
    <m/>
    <n v="0"/>
    <m/>
    <n v="4653"/>
    <s v="KG"/>
    <n v="4901.16"/>
    <s v="KG"/>
    <n v="10335.864"/>
    <s v="CD3"/>
    <n v="50821.93"/>
    <n v="0"/>
    <n v="0"/>
    <s v="EUR"/>
    <n v="0"/>
    <m/>
    <n v="0"/>
    <m/>
  </r>
  <r>
    <s v="SINODIS ShangHai"/>
    <s v="Katrina WANG"/>
    <n v="100031"/>
    <s v="VALRHONA SAS"/>
    <x v="4"/>
    <n v="30"/>
    <m/>
    <s v="SEA SHIPMENT"/>
    <s v="Pastry"/>
    <s v="Chocolate"/>
    <s v="Couverture"/>
    <s v="Grands Crus"/>
    <s v="Valrhona"/>
    <x v="15"/>
    <s v="CARAIBE 66% BKTS OF FEVES 1Kg"/>
    <s v="法芙娜加勒比巧克力豆（66%）1公斤"/>
    <n v="20170825"/>
    <s v="2017.09.16"/>
    <x v="4"/>
    <n v="0"/>
    <n v="359"/>
    <s v="EA"/>
    <n v="359"/>
    <s v="EA"/>
    <n v="0"/>
    <m/>
    <n v="0"/>
    <m/>
    <n v="359"/>
    <s v="KG"/>
    <n v="359"/>
    <s v="KG"/>
    <n v="1163.1600000000001"/>
    <s v="CD3"/>
    <n v="4445.32"/>
    <n v="0"/>
    <n v="0"/>
    <s v="EUR"/>
    <n v="0"/>
    <m/>
    <n v="0"/>
    <m/>
  </r>
  <r>
    <s v="SINODIS ShangHai"/>
    <s v="Katrina WANG"/>
    <n v="100031"/>
    <s v="VALRHONA SAS"/>
    <x v="4"/>
    <n v="40"/>
    <m/>
    <s v="SEA SHIPMENT"/>
    <s v="Pastry"/>
    <s v="Chocolate"/>
    <s v="Couverture"/>
    <s v="Professional Signature"/>
    <s v="Valrhona"/>
    <x v="12"/>
    <s v="EQUA NOIR 55% BKTS OF FEVES 3Kg"/>
    <s v="法芙娜阨瓜多爾巧克力豆（55％）3KG"/>
    <n v="20170825"/>
    <s v="2017.09.16"/>
    <x v="4"/>
    <n v="0"/>
    <n v="403"/>
    <s v="EA"/>
    <n v="403"/>
    <s v="EA"/>
    <n v="0"/>
    <m/>
    <n v="0"/>
    <m/>
    <n v="1209"/>
    <s v="KG"/>
    <n v="1273.48"/>
    <s v="KG"/>
    <n v="2781.5059999999999"/>
    <s v="CD3"/>
    <n v="10512.26"/>
    <n v="0"/>
    <n v="0"/>
    <s v="EUR"/>
    <n v="0"/>
    <m/>
    <n v="0"/>
    <m/>
  </r>
  <r>
    <s v="SINODIS ShangHai"/>
    <s v="Katrina WANG"/>
    <n v="100031"/>
    <s v="VALRHONA SAS"/>
    <x v="4"/>
    <n v="50"/>
    <m/>
    <s v="SEA SHIPMENT"/>
    <s v="Pastry"/>
    <s v="Chocolate"/>
    <s v="Couverture"/>
    <s v="Grands Crus"/>
    <s v="Valrhona"/>
    <x v="5"/>
    <s v="JIVARA LACTEE 40% BKTS OF FEVES 3Kg"/>
    <s v="法芙娜吉瓦那巧克力豆(40％)3KG"/>
    <n v="20170825"/>
    <s v="2017.09.16"/>
    <x v="4"/>
    <n v="0"/>
    <n v="700"/>
    <s v="EA"/>
    <n v="700"/>
    <s v="EA"/>
    <n v="0"/>
    <m/>
    <n v="0"/>
    <m/>
    <n v="2100"/>
    <s v="KG"/>
    <n v="2212"/>
    <s v="KG"/>
    <n v="5004.3"/>
    <s v="CD3"/>
    <n v="22020.18"/>
    <n v="0"/>
    <n v="0"/>
    <s v="EUR"/>
    <n v="0"/>
    <m/>
    <n v="0"/>
    <m/>
  </r>
  <r>
    <s v="SINODIS ShangHai"/>
    <s v="Katrina WANG"/>
    <n v="100031"/>
    <s v="VALRHONA SAS"/>
    <x v="4"/>
    <n v="60"/>
    <m/>
    <s v="SEA SHIPMENT"/>
    <s v="Pastry"/>
    <s v="Chocolate"/>
    <s v="Couverture"/>
    <s v="Gourmet Creation"/>
    <s v="Valrhona"/>
    <x v="6"/>
    <s v="IVOIRE WHT CHOCS BKTS OF FEVES 3Kg"/>
    <s v="法芙娜白色巧克力豆 3KG"/>
    <n v="20170825"/>
    <s v="2017.09.16"/>
    <x v="4"/>
    <n v="0"/>
    <n v="851"/>
    <s v="EA"/>
    <n v="851"/>
    <s v="EA"/>
    <n v="0"/>
    <m/>
    <n v="0"/>
    <m/>
    <n v="2553"/>
    <s v="KG"/>
    <n v="2689.16"/>
    <s v="KG"/>
    <n v="5700.8490000000002"/>
    <s v="CD3"/>
    <n v="28678.36"/>
    <n v="0"/>
    <n v="0"/>
    <s v="EUR"/>
    <n v="0"/>
    <m/>
    <n v="0"/>
    <m/>
  </r>
  <r>
    <s v="SINODIS ShangHai"/>
    <s v="Katrina WANG"/>
    <n v="100031"/>
    <s v="VALRHONA SAS"/>
    <x v="4"/>
    <n v="70"/>
    <m/>
    <s v="SEA SHIPMENT"/>
    <s v="Pastry"/>
    <s v="Service items"/>
    <s v="Glaze"/>
    <s v="Neutral"/>
    <s v="Valrhona"/>
    <x v="16"/>
    <s v="ABSOLU CRISTAL NEUTRAL GLAZE 5Kg"/>
    <s v="法芙娜钻石镜面淋酱(流质糖果）"/>
    <n v="20170825"/>
    <s v="2017.09.16"/>
    <x v="4"/>
    <n v="0"/>
    <n v="121"/>
    <s v="EA"/>
    <n v="121"/>
    <s v="EA"/>
    <n v="0"/>
    <m/>
    <n v="0"/>
    <m/>
    <n v="605"/>
    <s v="KG"/>
    <n v="656.90899999999999"/>
    <s v="KG"/>
    <n v="2404.5120000000002"/>
    <s v="CD3"/>
    <n v="3214.49"/>
    <n v="0"/>
    <n v="0"/>
    <s v="EUR"/>
    <n v="0"/>
    <m/>
    <n v="0"/>
    <m/>
  </r>
  <r>
    <s v="SINODIS ShangHai"/>
    <s v="Katrina WANG"/>
    <n v="100031"/>
    <s v="VALRHONA SAS"/>
    <x v="4"/>
    <n v="80"/>
    <m/>
    <s v="SEA SHIPMENT"/>
    <s v="Pastry"/>
    <s v="Chocolate"/>
    <s v="Couverture"/>
    <s v="Gourmet Creation"/>
    <s v="Valrhona"/>
    <x v="17"/>
    <s v="Block of Xocoline 65% Sugars-free 3KG"/>
    <s v="佐克林无糖巧克力65％3KG"/>
    <n v="20170825"/>
    <s v="2017.09.16"/>
    <x v="4"/>
    <n v="0"/>
    <n v="12"/>
    <s v="EA"/>
    <n v="12"/>
    <s v="EA"/>
    <n v="0"/>
    <m/>
    <n v="0"/>
    <m/>
    <n v="36"/>
    <s v="KG"/>
    <n v="36.323999999999998"/>
    <s v="KG"/>
    <n v="48"/>
    <s v="CD3"/>
    <n v="426.51"/>
    <n v="0"/>
    <n v="0"/>
    <s v="EUR"/>
    <n v="0"/>
    <m/>
    <n v="0"/>
    <m/>
  </r>
  <r>
    <s v="SINODIS ShangHai"/>
    <s v="Katrina WANG"/>
    <n v="100031"/>
    <s v="VALRHONA SAS"/>
    <x v="4"/>
    <n v="90"/>
    <m/>
    <s v="SEA SHIPMENT"/>
    <s v="Pastry"/>
    <s v="Chocolate"/>
    <s v="Bars"/>
    <s v="Grands Crus"/>
    <s v="Valrhona"/>
    <x v="14"/>
    <s v="VALRHONA HOME COOKING COCOA POWDER 100%"/>
    <s v="法芙娜可可粉(100%)250克"/>
    <n v="20170825"/>
    <s v="2017.09.16"/>
    <x v="4"/>
    <n v="0"/>
    <n v="5795"/>
    <s v="EA"/>
    <n v="5795"/>
    <s v="EA"/>
    <n v="0"/>
    <m/>
    <n v="0"/>
    <m/>
    <n v="1448.75"/>
    <s v="KG"/>
    <n v="1738.5"/>
    <s v="KG"/>
    <n v="0"/>
    <s v="CD3"/>
    <n v="21905.1"/>
    <n v="0"/>
    <n v="0"/>
    <s v="EUR"/>
    <n v="0"/>
    <m/>
    <n v="0"/>
    <m/>
  </r>
  <r>
    <s v="SINODIS BeiJing"/>
    <s v="Katrina WANG"/>
    <n v="100031"/>
    <s v="VALRHONA SAS"/>
    <x v="5"/>
    <n v="10"/>
    <m/>
    <s v="air shipment"/>
    <s v="Pastry"/>
    <s v="Chocolate"/>
    <s v="Bars"/>
    <s v="Grands Crus"/>
    <s v="Valrhona"/>
    <x v="18"/>
    <s v="VALRHONA THE PENINSULA BEIJING 66% BLOC"/>
    <s v="北京王府半岛巧克力（66%）3公斤"/>
    <n v="20170901"/>
    <s v="2017.09.23"/>
    <x v="5"/>
    <n v="0"/>
    <n v="334"/>
    <s v="EA"/>
    <n v="334"/>
    <s v="EA"/>
    <n v="0"/>
    <m/>
    <n v="0"/>
    <m/>
    <n v="1002"/>
    <s v="KG"/>
    <n v="1002"/>
    <s v="KG"/>
    <n v="898.46"/>
    <s v="CD3"/>
    <n v="15230.4"/>
    <n v="0"/>
    <n v="0"/>
    <s v="EUR"/>
    <n v="0"/>
    <m/>
    <n v="0"/>
    <m/>
  </r>
  <r>
    <s v="SINODIS BeiJing"/>
    <s v="Jeffrey Sheng"/>
    <n v="100031"/>
    <s v="VALRHONA SAS"/>
    <x v="6"/>
    <n v="10"/>
    <m/>
    <s v="air shipment"/>
    <s v="Pastry"/>
    <s v="Chocolate"/>
    <s v="Individually wrapped"/>
    <s v="Loose"/>
    <s v="Valrhona"/>
    <x v="19"/>
    <s v="VALRHONA PERSONALIZABLE CARA#BE CARRE 1-"/>
    <s v="法芙娜加勒比黑巧克力块1-2色（北京丽思卡尔顿定制）1千克"/>
    <n v="20170908"/>
    <s v="2017.09.11"/>
    <x v="6"/>
    <n v="0"/>
    <n v="50"/>
    <s v="EA"/>
    <n v="50"/>
    <s v="EA"/>
    <n v="0"/>
    <m/>
    <n v="0"/>
    <m/>
    <n v="50"/>
    <s v="KG"/>
    <n v="55"/>
    <s v="KG"/>
    <n v="150"/>
    <s v="CD3"/>
    <n v="1111.1300000000001"/>
    <n v="0"/>
    <n v="0"/>
    <s v="EUR"/>
    <n v="0"/>
    <m/>
    <n v="0"/>
    <m/>
  </r>
  <r>
    <s v="SINODIS BeiJing"/>
    <s v="Jeffrey Sheng"/>
    <n v="100031"/>
    <s v="VALRHONA SAS"/>
    <x v="6"/>
    <n v="20"/>
    <m/>
    <s v="air shipment"/>
    <s v="Pastry"/>
    <s v="Chocolate"/>
    <s v="Individually wrapped"/>
    <s v="Personalized"/>
    <s v="Valrhona"/>
    <x v="20"/>
    <s v="VALRHONA PERSONALIZABLE JIVARA CARRE 1-2"/>
    <s v="法芙娜吉瓦娜牛奶巧克力块1-2色（北京丽思卡尔顿定制）1千克"/>
    <n v="20170908"/>
    <s v="2017.09.11"/>
    <x v="6"/>
    <n v="0"/>
    <n v="60"/>
    <s v="EA"/>
    <n v="60"/>
    <s v="EA"/>
    <n v="0"/>
    <m/>
    <n v="0"/>
    <m/>
    <n v="60"/>
    <s v="KG"/>
    <n v="60"/>
    <s v="KG"/>
    <n v="0"/>
    <s v="CD3"/>
    <n v="1333.35"/>
    <n v="0"/>
    <n v="0"/>
    <s v="EUR"/>
    <n v="0"/>
    <m/>
    <n v="0"/>
    <m/>
  </r>
  <r>
    <s v="SINODIS BeiJing"/>
    <s v="Jeffrey Sheng"/>
    <n v="100031"/>
    <s v="VALRHONA SAS"/>
    <x v="6"/>
    <n v="30"/>
    <m/>
    <s v="air shipment"/>
    <s v="Pastry"/>
    <s v="Nuts"/>
    <s v="Paste"/>
    <s v="Praline"/>
    <s v="Valrhona"/>
    <x v="21"/>
    <s v="VALRHONA PRALINE NOISETTE 66% FRUITE 5KG"/>
    <s v="法芙娜扁桃仁榛果酱"/>
    <n v="20170908"/>
    <s v="2017.09.11"/>
    <x v="6"/>
    <n v="0"/>
    <n v="2"/>
    <s v="EA"/>
    <n v="2"/>
    <s v="EA"/>
    <n v="0"/>
    <m/>
    <n v="0"/>
    <m/>
    <n v="10"/>
    <s v="KG"/>
    <n v="10.199999999999999"/>
    <s v="KG"/>
    <n v="0.02"/>
    <s v="CD3"/>
    <n v="177.9"/>
    <n v="0"/>
    <n v="0"/>
    <s v="EUR"/>
    <n v="0"/>
    <m/>
    <n v="0"/>
    <m/>
  </r>
  <r>
    <s v="SINODIS BeiJing"/>
    <s v="Jeffrey Sheng"/>
    <n v="100031"/>
    <s v="VALRHONA SAS"/>
    <x v="6"/>
    <n v="40"/>
    <m/>
    <s v="air shipment"/>
    <s v="Pastry"/>
    <s v="Chocolate"/>
    <s v="Filling"/>
    <s v="Service"/>
    <s v="Valrhona"/>
    <x v="22"/>
    <s v="VALRHONA Cuvee Bali 68% BLOC 1KG"/>
    <s v="法芙娜巴厘岛甄选巧克力砖 (68%) |1公斤"/>
    <n v="20170908"/>
    <s v="2017.09.11"/>
    <x v="6"/>
    <n v="0"/>
    <n v="42"/>
    <s v="EA"/>
    <n v="42"/>
    <s v="EA"/>
    <n v="0"/>
    <m/>
    <n v="0"/>
    <m/>
    <n v="42"/>
    <s v="KG"/>
    <n v="42"/>
    <s v="KG"/>
    <n v="55.86"/>
    <s v="CD3"/>
    <n v="559.44000000000005"/>
    <n v="0"/>
    <n v="0"/>
    <s v="EUR"/>
    <n v="0"/>
    <m/>
    <n v="0"/>
    <m/>
  </r>
  <r>
    <s v="SINODIS BeiJing"/>
    <s v="Jeffrey Sheng"/>
    <n v="100031"/>
    <s v="VALRHONA SAS"/>
    <x v="6"/>
    <n v="50"/>
    <m/>
    <s v="air shipment"/>
    <s v="Pastry"/>
    <s v="Chocolate"/>
    <s v="Couverture"/>
    <s v="Grands Crus"/>
    <s v="Valrhona"/>
    <x v="23"/>
    <s v="VALRHONA Orelys 35% FEVE | 3KG"/>
    <s v="法芙娜欧瑞利斯豆型白巧克力制品（35%）|3公斤"/>
    <n v="20170908"/>
    <s v="2017.09.11"/>
    <x v="6"/>
    <n v="0"/>
    <n v="40"/>
    <s v="EA"/>
    <n v="40"/>
    <s v="EA"/>
    <n v="0"/>
    <m/>
    <n v="0"/>
    <m/>
    <n v="120"/>
    <s v="KG"/>
    <n v="120"/>
    <s v="KG"/>
    <n v="209"/>
    <s v="CD3"/>
    <n v="1445.66"/>
    <n v="0"/>
    <n v="0"/>
    <s v="EUR"/>
    <n v="0"/>
    <m/>
    <n v="0"/>
    <m/>
  </r>
  <r>
    <s v="SINODIS BeiJing"/>
    <s v="Jeffrey Sheng"/>
    <n v="100031"/>
    <s v="VALRHONA SAS"/>
    <x v="6"/>
    <n v="60"/>
    <m/>
    <s v="air shipment"/>
    <s v="Pastry"/>
    <s v="Flavors and Extracts"/>
    <s v="Flavor"/>
    <s v="Nuts"/>
    <s v="Valrhona"/>
    <x v="24"/>
    <s v="Valrhona PRALINE PISTACHE 42% FRUITE | 5"/>
    <s v="法芙娜扁桃仁开心果酱|5公斤"/>
    <n v="20170908"/>
    <s v="2017.09.11"/>
    <x v="6"/>
    <n v="0"/>
    <n v="30"/>
    <s v="EA"/>
    <n v="30"/>
    <s v="EA"/>
    <n v="0"/>
    <m/>
    <n v="0"/>
    <m/>
    <n v="150"/>
    <s v="KG"/>
    <n v="150"/>
    <s v="KG"/>
    <n v="250.8"/>
    <s v="CD3"/>
    <n v="3132.42"/>
    <n v="0"/>
    <n v="0"/>
    <s v="EUR"/>
    <n v="0"/>
    <m/>
    <n v="0"/>
    <m/>
  </r>
  <r>
    <s v="SINODIS BeiJing"/>
    <s v="Jeffrey Sheng"/>
    <n v="100031"/>
    <s v="VALRHONA SAS"/>
    <x v="6"/>
    <n v="70"/>
    <m/>
    <s v="air shipment"/>
    <s v="Pastry"/>
    <s v="Flavors and Extracts"/>
    <s v="Flavor"/>
    <s v="Nuts"/>
    <s v="Valrhona"/>
    <x v="25"/>
    <s v="Valrhona PRALINE PECAN 50% FRUITE | 5KG"/>
    <s v="法芙娜碧根果酱|5公斤"/>
    <n v="20170908"/>
    <s v="2017.09.11"/>
    <x v="6"/>
    <n v="0"/>
    <n v="20"/>
    <s v="EA"/>
    <n v="20"/>
    <s v="EA"/>
    <n v="0"/>
    <m/>
    <n v="0"/>
    <m/>
    <n v="100"/>
    <s v="KG"/>
    <n v="100"/>
    <s v="KG"/>
    <n v="167.2"/>
    <s v="CD3"/>
    <n v="1631.7"/>
    <n v="0"/>
    <n v="0"/>
    <s v="EUR"/>
    <n v="0"/>
    <m/>
    <n v="0"/>
    <m/>
  </r>
  <r>
    <s v="SINODIS ShangHai"/>
    <s v="Katrina WANG"/>
    <n v="100031"/>
    <s v="VALRHONA SAS"/>
    <x v="7"/>
    <n v="10"/>
    <m/>
    <s v="SEA SHIPMENT"/>
    <s v="Pastry"/>
    <s v="Chocolate"/>
    <s v="Couverture"/>
    <s v="Grands Crus"/>
    <s v="Valrhona"/>
    <x v="3"/>
    <s v="GUANAJA 70% BKTS OF FEVES 3Kg"/>
    <s v="法芙娜圭那亚巧克力豆（70％）3KG"/>
    <n v="20170918"/>
    <d v="2017-10-18T00:00:00"/>
    <x v="7"/>
    <n v="0"/>
    <n v="2061"/>
    <s v="EA"/>
    <n v="2061"/>
    <s v="EA"/>
    <n v="0"/>
    <m/>
    <n v="0"/>
    <m/>
    <n v="6183"/>
    <s v="KG"/>
    <n v="6512.76"/>
    <s v="KG"/>
    <n v="13734.504000000001"/>
    <s v="CD3"/>
    <n v="68905.83"/>
    <n v="0"/>
    <n v="0"/>
    <s v="EUR"/>
    <n v="0"/>
    <m/>
    <n v="0"/>
    <m/>
  </r>
  <r>
    <s v="SINODIS ShangHai"/>
    <s v="Katrina WANG"/>
    <n v="100031"/>
    <s v="VALRHONA SAS"/>
    <x v="7"/>
    <n v="20"/>
    <m/>
    <s v="SEA SHIPMENT"/>
    <s v="Pastry"/>
    <s v="Chocolate"/>
    <s v="Couverture"/>
    <s v="Grands Crus"/>
    <s v="Valrhona"/>
    <x v="26"/>
    <s v="GUANAJA 70% BKTS OF FEVES 1Kg"/>
    <s v="法芙娜圭那亚巧克力豆（70%）1公斤"/>
    <n v="20170918"/>
    <d v="2017-10-18T00:00:00"/>
    <x v="7"/>
    <n v="0"/>
    <n v="936"/>
    <s v="EA"/>
    <n v="936"/>
    <s v="EA"/>
    <n v="0"/>
    <m/>
    <n v="0"/>
    <m/>
    <n v="936"/>
    <s v="KG"/>
    <n v="936"/>
    <s v="KG"/>
    <n v="3032.64"/>
    <s v="CD3"/>
    <n v="11807.64"/>
    <n v="0"/>
    <n v="0"/>
    <s v="EUR"/>
    <n v="0"/>
    <m/>
    <n v="0"/>
    <m/>
  </r>
  <r>
    <s v="SINODIS ShangHai"/>
    <s v="Katrina WANG"/>
    <n v="100031"/>
    <s v="VALRHONA SAS"/>
    <x v="7"/>
    <n v="30"/>
    <m/>
    <s v="SEA SHIPMENT"/>
    <s v="Pastry"/>
    <s v="Chocolate"/>
    <s v="Couverture"/>
    <s v="Grands Crus"/>
    <s v="Valrhona"/>
    <x v="4"/>
    <s v="CARAIBE 66% BKTS OF FEVES 3Kg"/>
    <s v="法芙娜加勒比巧克力豆（66％）3KG"/>
    <n v="20170918"/>
    <d v="2017-10-18T00:00:00"/>
    <x v="7"/>
    <n v="0"/>
    <n v="2715"/>
    <s v="EA"/>
    <n v="2715"/>
    <s v="EA"/>
    <n v="0"/>
    <m/>
    <n v="0"/>
    <m/>
    <n v="8145"/>
    <s v="KG"/>
    <n v="8579.4"/>
    <s v="KG"/>
    <n v="18092.759999999998"/>
    <s v="CD3"/>
    <n v="88962.95"/>
    <n v="0"/>
    <n v="0"/>
    <s v="EUR"/>
    <n v="0"/>
    <m/>
    <n v="0"/>
    <m/>
  </r>
  <r>
    <s v="SINODIS ShangHai"/>
    <s v="Katrina WANG"/>
    <n v="100031"/>
    <s v="VALRHONA SAS"/>
    <x v="7"/>
    <n v="40"/>
    <m/>
    <s v="SEA SHIPMENT"/>
    <s v="Pastry"/>
    <s v="Chocolate"/>
    <s v="Couverture"/>
    <s v="Grands Crus"/>
    <s v="Valrhona"/>
    <x v="15"/>
    <s v="CARAIBE 66% BKTS OF FEVES 1Kg"/>
    <s v="法芙娜加勒比巧克力豆（66%）1公斤"/>
    <n v="20170918"/>
    <d v="2017-10-18T00:00:00"/>
    <x v="7"/>
    <n v="0"/>
    <n v="990"/>
    <s v="EA"/>
    <n v="990"/>
    <s v="EA"/>
    <n v="0"/>
    <m/>
    <n v="0"/>
    <m/>
    <n v="990"/>
    <s v="KG"/>
    <n v="990"/>
    <s v="KG"/>
    <n v="3207.6"/>
    <s v="CD3"/>
    <n v="12258.68"/>
    <n v="0"/>
    <n v="0"/>
    <s v="EUR"/>
    <n v="0"/>
    <m/>
    <n v="0"/>
    <m/>
  </r>
  <r>
    <s v="SINODIS ShangHai"/>
    <s v="Katrina WANG"/>
    <n v="100031"/>
    <s v="VALRHONA SAS"/>
    <x v="7"/>
    <n v="50"/>
    <m/>
    <s v="SEA SHIPMENT"/>
    <s v="Pastry"/>
    <s v="Chocolate"/>
    <s v="Couverture"/>
    <s v="Professional Signature"/>
    <s v="Valrhona"/>
    <x v="12"/>
    <s v="EQUA NOIR 55% BKTS OF FEVES 3Kg"/>
    <s v="法芙娜阨瓜多爾巧克力豆（55％）3KG"/>
    <n v="20170918"/>
    <d v="2017-10-18T00:00:00"/>
    <x v="7"/>
    <n v="0"/>
    <n v="2280"/>
    <s v="EA"/>
    <n v="2280"/>
    <s v="EA"/>
    <n v="0"/>
    <m/>
    <n v="0"/>
    <m/>
    <n v="6840"/>
    <s v="KG"/>
    <n v="7204.8"/>
    <s v="KG"/>
    <n v="15736.56"/>
    <s v="CD3"/>
    <n v="59473.8"/>
    <n v="0"/>
    <n v="0"/>
    <s v="EUR"/>
    <n v="0"/>
    <m/>
    <n v="0"/>
    <m/>
  </r>
  <r>
    <s v="SINODIS ShangHai"/>
    <s v="Katrina WANG"/>
    <n v="100031"/>
    <s v="VALRHONA SAS"/>
    <x v="7"/>
    <n v="60"/>
    <m/>
    <s v="SEA SHIPMENT"/>
    <s v="Pastry"/>
    <s v="Chocolate"/>
    <s v="Service item"/>
    <s v="Cocoa paste"/>
    <s v="Valrhona"/>
    <x v="0"/>
    <s v="VALRHONA COCOA PASTE (100%) BLOCK 3KG"/>
    <s v="法芙娜可可酱砖(100%) 3KG"/>
    <n v="20170918"/>
    <d v="2017-10-18T00:00:00"/>
    <x v="7"/>
    <n v="0"/>
    <n v="16"/>
    <s v="EA"/>
    <n v="16"/>
    <s v="EA"/>
    <n v="0"/>
    <m/>
    <n v="0"/>
    <m/>
    <n v="48"/>
    <s v="KG"/>
    <n v="50.56"/>
    <s v="KG"/>
    <n v="47.36"/>
    <s v="CD3"/>
    <n v="589.99"/>
    <n v="0"/>
    <n v="0"/>
    <s v="EUR"/>
    <n v="0"/>
    <m/>
    <n v="0"/>
    <m/>
  </r>
  <r>
    <s v="SINODIS ShangHai"/>
    <s v="Katrina WANG"/>
    <n v="100031"/>
    <s v="VALRHONA SAS"/>
    <x v="7"/>
    <n v="70"/>
    <m/>
    <s v="SEA SHIPMENT"/>
    <s v="Pastry"/>
    <s v="Chocolate"/>
    <s v="Couverture"/>
    <s v="Grands Crus"/>
    <s v="Valrhona"/>
    <x v="5"/>
    <s v="JIVARA LACTEE 40% BKTS OF FEVES 3Kg"/>
    <s v="法芙娜吉瓦那巧克力豆(40％)3KG"/>
    <n v="20170918"/>
    <d v="2017-10-18T00:00:00"/>
    <x v="7"/>
    <n v="0"/>
    <n v="3033"/>
    <s v="EA"/>
    <n v="3033"/>
    <s v="EA"/>
    <n v="0"/>
    <m/>
    <n v="0"/>
    <m/>
    <n v="9099"/>
    <s v="KG"/>
    <n v="9584.2800000000007"/>
    <s v="KG"/>
    <n v="21682.917000000001"/>
    <s v="CD3"/>
    <n v="95410.29"/>
    <n v="0"/>
    <n v="0"/>
    <s v="EUR"/>
    <n v="0"/>
    <m/>
    <n v="0"/>
    <m/>
  </r>
  <r>
    <s v="SINODIS ShangHai"/>
    <s v="Katrina WANG"/>
    <n v="100031"/>
    <s v="VALRHONA SAS"/>
    <x v="7"/>
    <n v="80"/>
    <m/>
    <s v="SEA SHIPMENT"/>
    <s v="Pastry"/>
    <s v="Chocolate"/>
    <s v="Couverture"/>
    <s v="Grands Crus"/>
    <s v="Valrhona"/>
    <x v="27"/>
    <s v="JIVARA LACTEE 40% BKTS OF FEVES 1Kg"/>
    <s v="法芙娜吉瓦那牛奶巧克力豆（40%）1公斤"/>
    <n v="20170918"/>
    <d v="2017-10-18T00:00:00"/>
    <x v="7"/>
    <n v="0"/>
    <n v="396"/>
    <s v="EA"/>
    <n v="396"/>
    <s v="EA"/>
    <n v="0"/>
    <m/>
    <n v="0"/>
    <m/>
    <n v="396"/>
    <s v="KG"/>
    <n v="396"/>
    <s v="KG"/>
    <n v="1283.04"/>
    <s v="CD3"/>
    <n v="4594.59"/>
    <n v="0"/>
    <n v="0"/>
    <s v="EUR"/>
    <n v="0"/>
    <m/>
    <n v="0"/>
    <m/>
  </r>
  <r>
    <s v="SINODIS ShangHai"/>
    <s v="Katrina WANG"/>
    <n v="100031"/>
    <s v="VALRHONA SAS"/>
    <x v="7"/>
    <n v="90"/>
    <m/>
    <s v="SEA SHIPMENT"/>
    <s v="Pastry"/>
    <s v="Chocolate"/>
    <s v="Couverture"/>
    <s v="Gourmet Creation"/>
    <s v="Valrhona"/>
    <x v="6"/>
    <s v="IVOIRE WHT CHOCS BKTS OF FEVES 3Kg"/>
    <s v="法芙娜白色巧克力豆 3KG"/>
    <n v="20170918"/>
    <d v="2017-10-18T00:00:00"/>
    <x v="7"/>
    <n v="0"/>
    <n v="2976"/>
    <s v="EA"/>
    <n v="2976"/>
    <s v="EA"/>
    <n v="0"/>
    <m/>
    <n v="0"/>
    <m/>
    <n v="8928"/>
    <s v="KG"/>
    <n v="9404.16"/>
    <s v="KG"/>
    <n v="19936.223999999998"/>
    <s v="CD3"/>
    <n v="100290.01"/>
    <n v="0"/>
    <n v="0"/>
    <s v="EUR"/>
    <n v="0"/>
    <m/>
    <n v="0"/>
    <m/>
  </r>
  <r>
    <s v="SINODIS ShangHai"/>
    <s v="Katrina WANG"/>
    <n v="100031"/>
    <s v="VALRHONA SAS"/>
    <x v="7"/>
    <n v="100"/>
    <m/>
    <s v="SEA SHIPMENT"/>
    <s v="Pastry"/>
    <s v="Chocolate"/>
    <s v="Couverture"/>
    <s v="Gourmet Creation"/>
    <s v="Valrhona"/>
    <x v="28"/>
    <s v="IVOIRE WHT CHOCS BKTS OF FEVES 1Kg"/>
    <s v="法芙娜白巧克力豆#（35%）1公斤"/>
    <n v="20170918"/>
    <d v="2017-10-18T00:00:00"/>
    <x v="7"/>
    <n v="0"/>
    <n v="810"/>
    <s v="EA"/>
    <n v="810"/>
    <s v="EA"/>
    <n v="0"/>
    <m/>
    <n v="0"/>
    <m/>
    <n v="810"/>
    <s v="KG"/>
    <n v="810"/>
    <s v="KG"/>
    <n v="2624.4"/>
    <s v="CD3"/>
    <n v="10442.93"/>
    <n v="0"/>
    <n v="0"/>
    <s v="EUR"/>
    <n v="0"/>
    <m/>
    <n v="0"/>
    <m/>
  </r>
  <r>
    <s v="SINODIS ShangHai"/>
    <s v="Katrina WANG"/>
    <n v="100031"/>
    <s v="VALRHONA SAS"/>
    <x v="7"/>
    <n v="110"/>
    <m/>
    <s v="SEA SHIPMENT"/>
    <s v="Pastry"/>
    <s v="Chocolate"/>
    <s v="Service item"/>
    <s v="Cocoa powder"/>
    <s v="Valrhona"/>
    <x v="7"/>
    <s v="VALRHONA COCOA POWDER 3KG/BOX"/>
    <s v="法芙娜可可粉（100％）3KG/盒"/>
    <n v="20170918"/>
    <d v="2017-10-18T00:00:00"/>
    <x v="7"/>
    <n v="0"/>
    <n v="6174"/>
    <s v="EA"/>
    <n v="6174"/>
    <s v="EA"/>
    <n v="0"/>
    <m/>
    <n v="0"/>
    <m/>
    <n v="18522"/>
    <s v="KG"/>
    <n v="20991.599999999999"/>
    <s v="KG"/>
    <n v="63987.336000000003"/>
    <s v="CD3"/>
    <n v="189557.85"/>
    <n v="0"/>
    <n v="0"/>
    <s v="EUR"/>
    <n v="0"/>
    <m/>
    <n v="0"/>
    <m/>
  </r>
  <r>
    <s v="SINODIS ShangHai"/>
    <s v="Katrina WANG"/>
    <n v="100031"/>
    <s v="VALRHONA SAS"/>
    <x v="7"/>
    <n v="120"/>
    <m/>
    <s v="SEA SHIPMENT"/>
    <s v="Pastry"/>
    <s v="Nuts"/>
    <s v="Paste"/>
    <s v="Praline"/>
    <s v="Valrhona"/>
    <x v="8"/>
    <s v="VALRHONA HAZELNUTS PRALINE(60%) 5KG"/>
    <s v="法芙娜榛果酱(60%) 5KG/桶"/>
    <n v="20170918"/>
    <d v="2017-10-18T00:00:00"/>
    <x v="7"/>
    <n v="0"/>
    <n v="18"/>
    <s v="EA"/>
    <n v="18"/>
    <s v="EA"/>
    <n v="0"/>
    <m/>
    <n v="0"/>
    <m/>
    <n v="90"/>
    <s v="KG"/>
    <n v="94.68"/>
    <s v="KG"/>
    <n v="174.96"/>
    <s v="CD3"/>
    <n v="1274.72"/>
    <n v="0"/>
    <n v="0"/>
    <s v="EUR"/>
    <n v="0"/>
    <m/>
    <n v="0"/>
    <m/>
  </r>
  <r>
    <s v="SINODIS ShangHai"/>
    <s v="Katrina WANG"/>
    <n v="100031"/>
    <s v="VALRHONA SAS"/>
    <x v="7"/>
    <n v="130"/>
    <m/>
    <s v="SEA SHIPMENT"/>
    <s v="Pastry"/>
    <s v="Chocolate"/>
    <s v="Individually wrapped"/>
    <s v="Loose"/>
    <s v="Valrhona"/>
    <x v="29"/>
    <s v="VALRHONA MANJARI SQUARES (200X5GM)/BOX"/>
    <s v="法芙娜曼特尼巧克力200X5GM"/>
    <n v="20170918"/>
    <d v="2017-10-18T00:00:00"/>
    <x v="7"/>
    <n v="0"/>
    <n v="7"/>
    <s v="EA"/>
    <n v="7"/>
    <s v="EA"/>
    <n v="0"/>
    <m/>
    <n v="0"/>
    <m/>
    <n v="7"/>
    <s v="KG"/>
    <n v="7"/>
    <s v="KG"/>
    <n v="16.940000000000001"/>
    <s v="CD3"/>
    <n v="145.07"/>
    <n v="0"/>
    <n v="0"/>
    <s v="EUR"/>
    <n v="0"/>
    <m/>
    <n v="0"/>
    <m/>
  </r>
  <r>
    <s v="SINODIS ShangHai"/>
    <s v="Katrina WANG"/>
    <n v="100031"/>
    <s v="VALRHONA SAS"/>
    <x v="7"/>
    <n v="140"/>
    <m/>
    <s v="SEA SHIPMENT"/>
    <s v="Pastry"/>
    <s v="Service items"/>
    <s v="Glaze"/>
    <s v="Neutral"/>
    <s v="Valrhona"/>
    <x v="16"/>
    <s v="ABSOLU CRISTAL NEUTRAL GLAZE 5Kg"/>
    <s v="法芙娜钻石镜面淋酱(流质糖果）"/>
    <n v="20170918"/>
    <d v="2017-10-18T00:00:00"/>
    <x v="7"/>
    <n v="0"/>
    <n v="290"/>
    <s v="EA"/>
    <n v="290"/>
    <s v="EA"/>
    <n v="0"/>
    <m/>
    <n v="0"/>
    <m/>
    <n v="1450"/>
    <s v="KG"/>
    <n v="1574.41"/>
    <s v="KG"/>
    <n v="5762.88"/>
    <s v="CD3"/>
    <n v="7704.14"/>
    <n v="0"/>
    <n v="0"/>
    <s v="EUR"/>
    <n v="0"/>
    <m/>
    <n v="0"/>
    <m/>
  </r>
  <r>
    <s v="SINODIS ShangHai"/>
    <s v="Katrina WANG"/>
    <n v="100031"/>
    <s v="VALRHONA SAS"/>
    <x v="7"/>
    <n v="150"/>
    <m/>
    <s v="SEA SHIPMENT"/>
    <s v="Pastry"/>
    <s v="Chocolate"/>
    <s v="Couverture"/>
    <s v="Grands Crus"/>
    <s v="Valrhona"/>
    <x v="30"/>
    <s v="MANJARI 64% BUCKETS OF FEVES 3Kg"/>
    <s v="法芙娜曼特尼巧克力豆(64%) 3KG"/>
    <n v="20170918"/>
    <d v="2017-10-18T00:00:00"/>
    <x v="7"/>
    <n v="0"/>
    <n v="204"/>
    <s v="EA"/>
    <n v="204"/>
    <s v="EA"/>
    <n v="0"/>
    <m/>
    <n v="0"/>
    <m/>
    <n v="612"/>
    <s v="KG"/>
    <n v="644.64"/>
    <s v="KG"/>
    <n v="1066.92"/>
    <s v="CD3"/>
    <n v="6865.66"/>
    <n v="0"/>
    <n v="0"/>
    <s v="EUR"/>
    <n v="0"/>
    <m/>
    <n v="0"/>
    <m/>
  </r>
  <r>
    <s v="SINODIS ShangHai"/>
    <s v="Katrina WANG"/>
    <n v="100031"/>
    <s v="VALRHONA SAS"/>
    <x v="7"/>
    <n v="160"/>
    <m/>
    <s v="SEA SHIPMENT"/>
    <s v="Pastry"/>
    <s v="Chocolate"/>
    <s v="Couverture"/>
    <s v="Grands Crus"/>
    <s v="Valrhona"/>
    <x v="31"/>
    <s v="TANARIVA LACTEE 33% BKT OF FEVES 3Kg"/>
    <s v="法芙娜塔那里瓦牛奶巧克力豆（33%）"/>
    <n v="20170918"/>
    <d v="2017-10-18T00:00:00"/>
    <x v="7"/>
    <n v="0"/>
    <n v="57"/>
    <s v="EA"/>
    <n v="57"/>
    <s v="EA"/>
    <n v="0"/>
    <m/>
    <n v="0"/>
    <m/>
    <n v="171"/>
    <s v="KG"/>
    <n v="180.12"/>
    <s v="KG"/>
    <n v="404.98500000000001"/>
    <s v="CD3"/>
    <n v="1651.35"/>
    <n v="0"/>
    <n v="0"/>
    <s v="EUR"/>
    <n v="0"/>
    <m/>
    <n v="0"/>
    <m/>
  </r>
  <r>
    <s v="SINODIS ShangHai"/>
    <s v="Katrina WANG"/>
    <n v="100031"/>
    <s v="VALRHONA SAS"/>
    <x v="7"/>
    <n v="170"/>
    <m/>
    <s v="SEA SHIPMENT"/>
    <s v="Pastry"/>
    <s v="Chocolate"/>
    <s v="Couverture"/>
    <s v="Professional Signature"/>
    <s v="Valrhona"/>
    <x v="2"/>
    <s v="EQUA LACTEE 35% BKT OF FEVES 3Kg"/>
    <s v="法芙娜阨瓜多尔牛奶巧克力豆3KG"/>
    <n v="20170918"/>
    <d v="2017-10-18T00:00:00"/>
    <x v="7"/>
    <n v="0"/>
    <n v="210"/>
    <s v="EA"/>
    <n v="210"/>
    <s v="EA"/>
    <n v="0"/>
    <m/>
    <n v="0"/>
    <m/>
    <n v="630"/>
    <s v="KG"/>
    <n v="640.5"/>
    <s v="KG"/>
    <n v="1406.79"/>
    <s v="CD3"/>
    <n v="5752.91"/>
    <n v="0"/>
    <n v="0"/>
    <s v="EUR"/>
    <n v="0"/>
    <m/>
    <n v="0"/>
    <m/>
  </r>
  <r>
    <s v="SINODIS ShangHai"/>
    <s v="Katrina WANG"/>
    <n v="100031"/>
    <s v="VALRHONA SAS"/>
    <x v="7"/>
    <n v="180"/>
    <m/>
    <s v="SEA SHIPMENT"/>
    <s v="Pastry"/>
    <s v="Chocolate"/>
    <s v="Filling"/>
    <s v="Drops"/>
    <s v="Valrhona"/>
    <x v="32"/>
    <s v="VALRHONA DARK CHOCOLATE PEARLS 4KG"/>
    <s v="法芙娜黑巧克力珠 4KG"/>
    <n v="20170918"/>
    <d v="2017-10-18T00:00:00"/>
    <x v="7"/>
    <n v="0"/>
    <n v="48"/>
    <s v="EA"/>
    <n v="48"/>
    <s v="EA"/>
    <n v="0"/>
    <m/>
    <n v="0"/>
    <m/>
    <n v="192"/>
    <s v="KG"/>
    <n v="281.27999999999997"/>
    <s v="KG"/>
    <n v="321.55200000000002"/>
    <s v="CD3"/>
    <n v="1498.94"/>
    <n v="0"/>
    <n v="0"/>
    <s v="EUR"/>
    <n v="0"/>
    <m/>
    <n v="0"/>
    <m/>
  </r>
  <r>
    <s v="SINODIS ShangHai"/>
    <s v="Katrina WANG"/>
    <n v="100031"/>
    <s v="VALRHONA SAS"/>
    <x v="7"/>
    <n v="190"/>
    <m/>
    <s v="SEA SHIPMENT"/>
    <s v="Pastry"/>
    <s v="Chocolate"/>
    <s v="Couverture"/>
    <s v="Grands Crus"/>
    <s v="Valrhona"/>
    <x v="33"/>
    <s v="ARAgUANI BKTS OF FEVES 72% 3Kg"/>
    <s v="法芙娜阿拉瓜尼巧克力豆(72%) 3KG"/>
    <n v="20170918"/>
    <d v="2017-10-18T00:00:00"/>
    <x v="7"/>
    <n v="0"/>
    <n v="153"/>
    <s v="EA"/>
    <n v="153"/>
    <s v="EA"/>
    <n v="0"/>
    <m/>
    <n v="0"/>
    <m/>
    <n v="459"/>
    <s v="KG"/>
    <n v="485.01"/>
    <s v="KG"/>
    <n v="1019.592"/>
    <s v="CD3"/>
    <n v="6005.19"/>
    <n v="0"/>
    <n v="0"/>
    <s v="EUR"/>
    <n v="0"/>
    <m/>
    <n v="0"/>
    <m/>
  </r>
  <r>
    <s v="SINODIS ShangHai"/>
    <s v="Katrina WANG"/>
    <n v="100031"/>
    <s v="VALRHONA SAS"/>
    <x v="7"/>
    <n v="200"/>
    <m/>
    <s v="SEA SHIPMENT"/>
    <s v="Pastry"/>
    <s v="Chocolate"/>
    <s v="Filling"/>
    <s v="Drops"/>
    <s v="Valrhona"/>
    <x v="9"/>
    <s v="VALRHONA CRUNCHY PEARLS 3KG"/>
    <s v="法芙娜香脆珍珠形巧克力制品"/>
    <n v="20170918"/>
    <d v="2017-10-18T00:00:00"/>
    <x v="7"/>
    <n v="0"/>
    <n v="1293"/>
    <s v="EA"/>
    <n v="1293"/>
    <s v="EA"/>
    <n v="0"/>
    <m/>
    <n v="0"/>
    <m/>
    <n v="3879"/>
    <s v="KG"/>
    <n v="4266.8999999999996"/>
    <s v="KG"/>
    <n v="8616.5519999999997"/>
    <s v="CD3"/>
    <n v="39440.120000000003"/>
    <n v="0"/>
    <n v="0"/>
    <s v="EUR"/>
    <n v="0"/>
    <m/>
    <n v="0"/>
    <m/>
  </r>
  <r>
    <s v="SINODIS ShangHai"/>
    <s v="Katrina WANG"/>
    <n v="100031"/>
    <s v="VALRHONA SAS"/>
    <x v="7"/>
    <n v="210"/>
    <m/>
    <s v="SEA SHIPMENT"/>
    <s v="Pastry"/>
    <s v="Chocolate"/>
    <s v="Couverture"/>
    <s v="Grands Crus"/>
    <s v="Valrhona"/>
    <x v="34"/>
    <s v="VALRHONA TAINORI (64%) BAG OF FEVES 3 KG"/>
    <s v="法芙娜塔诺丽巧克力豆（64%）3公斤"/>
    <n v="20170918"/>
    <d v="2017-10-18T00:00:00"/>
    <x v="7"/>
    <n v="0"/>
    <n v="159"/>
    <s v="EA"/>
    <n v="159"/>
    <s v="EA"/>
    <n v="0"/>
    <m/>
    <n v="0"/>
    <m/>
    <n v="477"/>
    <s v="KG"/>
    <n v="502.44"/>
    <s v="KG"/>
    <n v="1059.576"/>
    <s v="CD3"/>
    <n v="5202.93"/>
    <n v="0"/>
    <n v="0"/>
    <s v="EUR"/>
    <n v="0"/>
    <m/>
    <n v="0"/>
    <m/>
  </r>
  <r>
    <s v="SINODIS ShangHai"/>
    <s v="Katrina WANG"/>
    <n v="100031"/>
    <s v="VALRHONA SAS"/>
    <x v="7"/>
    <n v="220"/>
    <m/>
    <s v="SEA SHIPMENT"/>
    <s v="Pastry"/>
    <s v="Chocolate"/>
    <s v="Couverture"/>
    <s v="Grands Crus"/>
    <s v="Valrhona"/>
    <x v="35"/>
    <s v="VALRHONA BAG OF FEVES ABINAO 85% 3KG"/>
    <s v="法芙娜阿比纳巧克力豆（85%）3公斤"/>
    <n v="20170918"/>
    <d v="2017-10-18T00:00:00"/>
    <x v="7"/>
    <n v="0"/>
    <n v="117"/>
    <s v="EA"/>
    <n v="117"/>
    <s v="EA"/>
    <n v="0"/>
    <m/>
    <n v="0"/>
    <m/>
    <n v="351"/>
    <s v="KG"/>
    <n v="386.1"/>
    <s v="KG"/>
    <n v="779.68799999999999"/>
    <s v="CD3"/>
    <n v="3667.53"/>
    <n v="0"/>
    <n v="0"/>
    <s v="EUR"/>
    <n v="0"/>
    <m/>
    <n v="0"/>
    <m/>
  </r>
  <r>
    <s v="SINODIS ShangHai"/>
    <s v="Katrina WANG"/>
    <n v="100031"/>
    <s v="VALRHONA SAS"/>
    <x v="7"/>
    <n v="230"/>
    <m/>
    <s v="SEA SHIPMENT"/>
    <s v="Pastry"/>
    <s v="Chocolate"/>
    <s v="Individually wrapped"/>
    <s v="Loose"/>
    <s v="Valrhona"/>
    <x v="36"/>
    <s v="SQUARES gR&amp; CRU GUANAJA 70% 200*5g"/>
    <s v="法芙娜圭那亚苦味黑巧克力块 5GM"/>
    <n v="20170918"/>
    <d v="2017-10-18T00:00:00"/>
    <x v="7"/>
    <n v="0"/>
    <n v="22"/>
    <s v="EA"/>
    <n v="22"/>
    <s v="EA"/>
    <n v="0"/>
    <m/>
    <n v="0"/>
    <m/>
    <n v="22"/>
    <s v="KG"/>
    <n v="26.707999999999998"/>
    <s v="KG"/>
    <n v="512.072"/>
    <s v="CD3"/>
    <n v="455.94"/>
    <n v="0"/>
    <n v="0"/>
    <s v="EUR"/>
    <n v="0"/>
    <m/>
    <n v="0"/>
    <m/>
  </r>
  <r>
    <s v="SINODIS ShangHai"/>
    <s v="Katrina WANG"/>
    <n v="100031"/>
    <s v="VALRHONA SAS"/>
    <x v="7"/>
    <n v="240"/>
    <m/>
    <s v="SEA SHIPMENT"/>
    <s v="Pastry"/>
    <s v="Chocolate"/>
    <s v="Couverture"/>
    <s v="Gourmet Creation"/>
    <s v="Valrhona"/>
    <x v="17"/>
    <s v="Block of Xocoline 65% Sugars-free 3KG"/>
    <s v="佐克林无糖巧克力65％3KG"/>
    <n v="20170918"/>
    <d v="2017-10-18T00:00:00"/>
    <x v="7"/>
    <n v="0"/>
    <n v="42"/>
    <s v="EA"/>
    <n v="42"/>
    <s v="EA"/>
    <n v="0"/>
    <m/>
    <n v="0"/>
    <m/>
    <n v="126"/>
    <s v="KG"/>
    <n v="127.134"/>
    <s v="KG"/>
    <n v="168"/>
    <s v="CD3"/>
    <n v="1492.77"/>
    <n v="0"/>
    <n v="0"/>
    <s v="EUR"/>
    <n v="0"/>
    <m/>
    <n v="0"/>
    <m/>
  </r>
  <r>
    <s v="SINODIS ShangHai"/>
    <s v="Katrina WANG"/>
    <n v="100031"/>
    <s v="VALRHONA SAS"/>
    <x v="7"/>
    <n v="250"/>
    <m/>
    <s v="SEA SHIPMENT"/>
    <s v="Pastry"/>
    <s v="Chocolate"/>
    <s v="Couverture"/>
    <s v="Professional Signature"/>
    <s v="Valrhona"/>
    <x v="10"/>
    <s v="SAT DRK 62% BOX FEVES 12Kg"/>
    <s v="法芙娜萨蒂利亚黑巧克力12KG（62％）"/>
    <n v="20170918"/>
    <d v="2017-10-18T00:00:00"/>
    <x v="7"/>
    <n v="0"/>
    <n v="448"/>
    <s v="EA"/>
    <n v="448"/>
    <s v="EA"/>
    <n v="0"/>
    <m/>
    <n v="0"/>
    <m/>
    <n v="5376"/>
    <s v="KG"/>
    <n v="5913.6"/>
    <s v="KG"/>
    <n v="8064"/>
    <s v="CD3"/>
    <n v="40538.269999999997"/>
    <n v="0"/>
    <n v="0"/>
    <s v="EUR"/>
    <n v="0"/>
    <m/>
    <n v="0"/>
    <m/>
  </r>
  <r>
    <s v="SINODIS ShangHai"/>
    <s v="Katrina WANG"/>
    <n v="100031"/>
    <s v="VALRHONA SAS"/>
    <x v="7"/>
    <n v="260"/>
    <m/>
    <s v="SEA SHIPMENT"/>
    <s v="Pastry"/>
    <s v="Chocolate"/>
    <s v="Couverture"/>
    <s v="Gourmet Creation"/>
    <s v="Valrhona"/>
    <x v="37"/>
    <s v="VALRHONA CARAMELIA (36%) BAG OF FEVES 3"/>
    <s v="法芙娜焦糖巧克力豆36% 3公斤"/>
    <n v="20170918"/>
    <d v="2017-10-18T00:00:00"/>
    <x v="7"/>
    <n v="0"/>
    <n v="180"/>
    <s v="EA"/>
    <n v="180"/>
    <s v="EA"/>
    <n v="0"/>
    <m/>
    <n v="0"/>
    <m/>
    <n v="540"/>
    <s v="KG"/>
    <n v="576"/>
    <s v="KG"/>
    <n v="383.76"/>
    <s v="CD3"/>
    <n v="5594.4"/>
    <n v="0"/>
    <n v="0"/>
    <s v="EUR"/>
    <n v="0"/>
    <m/>
    <n v="0"/>
    <m/>
  </r>
  <r>
    <s v="SINODIS ShangHai"/>
    <s v="Katrina WANG"/>
    <n v="100031"/>
    <s v="VALRHONA SAS"/>
    <x v="7"/>
    <n v="270"/>
    <m/>
    <s v="SEA SHIPMENT"/>
    <s v="Pastry"/>
    <s v="Chocolate"/>
    <s v="Couverture"/>
    <s v="Grands Crus"/>
    <s v="Valrhona"/>
    <x v="38"/>
    <s v="VALRHONA P125 COEUR DE GUANAJA 1 KG"/>
    <s v="法芙娜圭那亚特浓巧克力豆（80%）1公斤"/>
    <n v="20170918"/>
    <d v="2017-10-18T00:00:00"/>
    <x v="7"/>
    <n v="0"/>
    <n v="54"/>
    <s v="EA"/>
    <n v="54"/>
    <s v="EA"/>
    <n v="0"/>
    <m/>
    <n v="0"/>
    <m/>
    <n v="54"/>
    <s v="KG"/>
    <n v="58.212000000000003"/>
    <s v="KG"/>
    <n v="64.8"/>
    <s v="CD3"/>
    <n v="649.35"/>
    <n v="0"/>
    <n v="0"/>
    <s v="EUR"/>
    <n v="0"/>
    <m/>
    <n v="0"/>
    <m/>
  </r>
  <r>
    <s v="SINODIS ShangHai"/>
    <s v="Katrina WANG"/>
    <n v="100031"/>
    <s v="VALRHONA SAS"/>
    <x v="7"/>
    <n v="280"/>
    <m/>
    <s v="SEA SHIPMENT"/>
    <s v="Pastry"/>
    <s v="Chocolate"/>
    <s v="Couverture"/>
    <s v="Gourmet Creation"/>
    <s v="Valrhona"/>
    <x v="13"/>
    <s v="VALRHONA OPALYS 33% WHITE CHOCOLATE BAG"/>
    <s v="法芙娜白巧克力豆（33%）3KG"/>
    <n v="20170918"/>
    <d v="2017-10-18T00:00:00"/>
    <x v="7"/>
    <n v="0"/>
    <n v="1053"/>
    <s v="EA"/>
    <n v="1053"/>
    <s v="EA"/>
    <n v="0"/>
    <m/>
    <n v="0"/>
    <m/>
    <n v="3159"/>
    <s v="KG"/>
    <n v="3685.5"/>
    <s v="KG"/>
    <n v="0"/>
    <s v="CD3"/>
    <n v="38033.730000000003"/>
    <n v="0"/>
    <n v="0"/>
    <s v="EUR"/>
    <n v="0"/>
    <m/>
    <n v="0"/>
    <m/>
  </r>
  <r>
    <s v="SINODIS ShangHai"/>
    <s v="Katrina WANG"/>
    <n v="100031"/>
    <s v="VALRHONA SAS"/>
    <x v="7"/>
    <n v="290"/>
    <m/>
    <s v="SEA SHIPMENT"/>
    <s v="Pastry"/>
    <s v="Chocolate"/>
    <s v="Couverture"/>
    <s v="Grands Crus"/>
    <s v="Valrhona"/>
    <x v="39"/>
    <s v="VALRHONA CARAQUE (56%) BLOCK 3 KG"/>
    <s v="法芙娜卡拉克巧克力砖 （56%） 3公斤"/>
    <n v="20170918"/>
    <d v="2017-10-18T00:00:00"/>
    <x v="7"/>
    <n v="0"/>
    <n v="10"/>
    <s v="EA"/>
    <n v="10"/>
    <s v="EA"/>
    <n v="0"/>
    <m/>
    <n v="0"/>
    <m/>
    <n v="30"/>
    <s v="KG"/>
    <n v="33"/>
    <s v="KG"/>
    <n v="26.9"/>
    <s v="CD3"/>
    <n v="296.37"/>
    <n v="0"/>
    <n v="0"/>
    <s v="EUR"/>
    <n v="0"/>
    <m/>
    <n v="0"/>
    <m/>
  </r>
  <r>
    <s v="SINODIS ShangHai"/>
    <s v="Katrina WANG"/>
    <n v="100031"/>
    <s v="VALRHONA SAS"/>
    <x v="7"/>
    <n v="300"/>
    <m/>
    <s v="SEA SHIPMENT"/>
    <s v="Pastry"/>
    <s v="Chocolate"/>
    <s v="Couverture"/>
    <s v="Grands Crus"/>
    <s v="Valrhona"/>
    <x v="40"/>
    <s v="VALRHONA MACAE (62%) BAG OF FEVES 3KG"/>
    <s v="法芙娜马卡埃巧克力豆 (62%) 3公斤"/>
    <n v="20170918"/>
    <d v="2017-10-18T00:00:00"/>
    <x v="7"/>
    <n v="0"/>
    <n v="30"/>
    <s v="EA"/>
    <n v="30"/>
    <s v="EA"/>
    <n v="0"/>
    <m/>
    <n v="0"/>
    <m/>
    <n v="90"/>
    <s v="KG"/>
    <n v="99"/>
    <s v="KG"/>
    <n v="196.5"/>
    <s v="CD3"/>
    <n v="981.68"/>
    <n v="0"/>
    <n v="0"/>
    <s v="EUR"/>
    <n v="0"/>
    <m/>
    <n v="0"/>
    <m/>
  </r>
  <r>
    <s v="SINODIS ShangHai"/>
    <s v="Katrina WANG"/>
    <n v="100031"/>
    <s v="VALRHONA SAS"/>
    <x v="7"/>
    <n v="310"/>
    <m/>
    <s v="SEA SHIPMENT"/>
    <s v="Pastry"/>
    <s v="Chocolate"/>
    <s v="Couverture"/>
    <s v="Gourmet Creation"/>
    <s v="Valrhona"/>
    <x v="41"/>
    <s v="VALRHONA DULCEY (32%) BAG OF FEVES 3KG"/>
    <s v="法芙娜度思巧克力豆 (32%) 3公斤"/>
    <n v="20170918"/>
    <d v="2017-10-18T00:00:00"/>
    <x v="7"/>
    <n v="0"/>
    <n v="492"/>
    <s v="EA"/>
    <n v="492"/>
    <s v="EA"/>
    <n v="0"/>
    <m/>
    <n v="0"/>
    <m/>
    <n v="1476"/>
    <s v="KG"/>
    <n v="1623.6"/>
    <s v="KG"/>
    <n v="3665.4"/>
    <s v="CD3"/>
    <n v="18098.419999999998"/>
    <n v="0"/>
    <n v="0"/>
    <s v="EUR"/>
    <n v="0"/>
    <m/>
    <n v="0"/>
    <m/>
  </r>
  <r>
    <s v="SINODIS ShangHai"/>
    <s v="Katrina WANG"/>
    <n v="100031"/>
    <s v="VALRHONA SAS"/>
    <x v="7"/>
    <n v="320"/>
    <m/>
    <s v="SEA SHIPMENT"/>
    <s v="Pastry"/>
    <s v="Chocolate"/>
    <s v="Bars"/>
    <s v="Grands Crus"/>
    <s v="Valrhona"/>
    <x v="14"/>
    <s v="VALRHONA HOME COOKING COCOA POWDER 100%"/>
    <s v="法芙娜可可粉(100%)250克"/>
    <n v="20170918"/>
    <d v="2017-10-18T00:00:00"/>
    <x v="7"/>
    <n v="0"/>
    <n v="12584"/>
    <s v="EA"/>
    <n v="12584"/>
    <s v="EA"/>
    <n v="0"/>
    <m/>
    <n v="0"/>
    <m/>
    <n v="3146"/>
    <s v="KG"/>
    <n v="3775.2"/>
    <s v="KG"/>
    <n v="0"/>
    <s v="CD3"/>
    <n v="47567.519999999997"/>
    <n v="0"/>
    <n v="0"/>
    <s v="EUR"/>
    <n v="0"/>
    <m/>
    <n v="0"/>
    <m/>
  </r>
  <r>
    <s v="SINODIS ShangHai"/>
    <s v="Katrina WANG"/>
    <n v="100031"/>
    <s v="VALRHONA SAS"/>
    <x v="7"/>
    <n v="330"/>
    <m/>
    <s v="SEA SHIPMENT"/>
    <s v="Pastry"/>
    <s v="Chocolate"/>
    <s v="Couverture"/>
    <s v="Grands Crus"/>
    <s v="Valrhona"/>
    <x v="1"/>
    <s v="VALRHONA BAHIBE (46%) BAG OF FEVES 3KG"/>
    <s v="法芙娜百益贝牛奶巧克力豆（46%) 3公斤"/>
    <n v="20170918"/>
    <d v="2017-10-18T00:00:00"/>
    <x v="7"/>
    <n v="0"/>
    <n v="33"/>
    <s v="EA"/>
    <n v="33"/>
    <s v="EA"/>
    <n v="0"/>
    <m/>
    <n v="0"/>
    <m/>
    <n v="99"/>
    <s v="KG"/>
    <n v="115.5"/>
    <s v="KG"/>
    <n v="172.26"/>
    <s v="CD3"/>
    <n v="1059.3399999999999"/>
    <n v="0"/>
    <n v="0"/>
    <s v="EUR"/>
    <n v="0"/>
    <m/>
    <n v="0"/>
    <m/>
  </r>
  <r>
    <s v="SINODIS ShangHai"/>
    <s v="Katrina WANG"/>
    <n v="100031"/>
    <s v="VALRHONA SAS"/>
    <x v="7"/>
    <n v="340"/>
    <m/>
    <s v="SEA SHIPMENT"/>
    <s v="Pastry"/>
    <s v="Chocolate"/>
    <s v="Filling"/>
    <s v="Service"/>
    <s v="Valrhona"/>
    <x v="42"/>
    <s v="VALRHONA PERLES CRAQUANTES CARAMELIA 36%"/>
    <s v="法芙娜香脆珍珠形焦糖牛奶巧克力 36% 3千克"/>
    <n v="20170918"/>
    <d v="2017-10-18T00:00:00"/>
    <x v="7"/>
    <n v="0"/>
    <n v="99"/>
    <s v="EA"/>
    <n v="99"/>
    <s v="EA"/>
    <n v="0"/>
    <m/>
    <n v="0"/>
    <m/>
    <n v="297"/>
    <s v="KG"/>
    <n v="300.16800000000001"/>
    <s v="KG"/>
    <n v="514.79999999999995"/>
    <s v="CD3"/>
    <n v="3553.84"/>
    <n v="0"/>
    <n v="0"/>
    <s v="EUR"/>
    <n v="0"/>
    <m/>
    <n v="0"/>
    <m/>
  </r>
  <r>
    <s v="SINODIS ShangHai"/>
    <s v="Katrina WANG"/>
    <n v="100031"/>
    <s v="VALRHONA SAS"/>
    <x v="7"/>
    <n v="350"/>
    <m/>
    <s v="SEA SHIPMENT"/>
    <s v="Pastry"/>
    <s v="Chocolate"/>
    <s v="Filling"/>
    <s v="Service"/>
    <s v="Valrhona"/>
    <x v="43"/>
    <s v="VALRHONA PERLES CRAQUANTES DULCEY 35% 3"/>
    <s v="法芙娜度思香脆珍珠形巧克力 35% 3千克"/>
    <n v="20170918"/>
    <d v="2017-10-18T00:00:00"/>
    <x v="7"/>
    <n v="0"/>
    <n v="207"/>
    <s v="EA"/>
    <n v="207"/>
    <s v="EA"/>
    <n v="0"/>
    <m/>
    <n v="0"/>
    <m/>
    <n v="621"/>
    <s v="KG"/>
    <n v="627.62400000000002"/>
    <s v="KG"/>
    <n v="1076.4000000000001"/>
    <s v="CD3"/>
    <n v="7793.8"/>
    <n v="0"/>
    <n v="0"/>
    <s v="EUR"/>
    <n v="0"/>
    <m/>
    <n v="0"/>
    <m/>
  </r>
  <r>
    <s v="SINODIS ShangHai"/>
    <s v="Katrina WANG"/>
    <n v="100031"/>
    <s v="VALRHONA SAS"/>
    <x v="7"/>
    <n v="360"/>
    <m/>
    <s v="SEA SHIPMENT"/>
    <s v="Pastry"/>
    <s v="Chocolate"/>
    <s v="Filling"/>
    <s v="Service"/>
    <s v="Valrhona"/>
    <x v="44"/>
    <s v="VALRHONA PERLES CRAQUANTES OPALYS 34% 3"/>
    <s v="法芙娜香脆珍珠形白巧克力 34% 3千克"/>
    <n v="20170918"/>
    <d v="2017-10-18T00:00:00"/>
    <x v="7"/>
    <n v="0"/>
    <n v="174"/>
    <s v="EA"/>
    <n v="174"/>
    <s v="EA"/>
    <n v="0"/>
    <m/>
    <n v="0"/>
    <m/>
    <n v="522"/>
    <s v="KG"/>
    <n v="529.48199999999997"/>
    <s v="KG"/>
    <n v="904.8"/>
    <s v="CD3"/>
    <n v="6253.87"/>
    <n v="0"/>
    <n v="0"/>
    <s v="EUR"/>
    <n v="0"/>
    <m/>
    <n v="0"/>
    <m/>
  </r>
  <r>
    <s v="SINODIS ShangHai"/>
    <s v="Katrina WANG"/>
    <n v="100031"/>
    <s v="VALRHONA SAS"/>
    <x v="7"/>
    <n v="370"/>
    <m/>
    <s v="SEA SHIPMENT"/>
    <s v="Pastry"/>
    <s v="Chocolate"/>
    <s v="Couverture"/>
    <s v="Grands Crus"/>
    <s v="Valrhona"/>
    <x v="45"/>
    <s v="VALRHONA NYANGBO 68% FEVE 3KG"/>
    <s v="法芙娜昵安菠黑巧克力豆 68% 3千克"/>
    <n v="20170918"/>
    <d v="2017-10-18T00:00:00"/>
    <x v="7"/>
    <n v="0"/>
    <n v="9"/>
    <s v="EA"/>
    <n v="9"/>
    <s v="EA"/>
    <n v="0"/>
    <m/>
    <n v="0"/>
    <m/>
    <n v="27"/>
    <s v="KG"/>
    <n v="27.27"/>
    <s v="KG"/>
    <n v="46.8"/>
    <s v="CD3"/>
    <n v="294.51"/>
    <n v="0"/>
    <n v="0"/>
    <s v="EUR"/>
    <n v="0"/>
    <m/>
    <n v="0"/>
    <m/>
  </r>
  <r>
    <s v="SINODIS ShangHai"/>
    <s v="Katrina WANG"/>
    <n v="100031"/>
    <s v="VALRHONA SAS"/>
    <x v="7"/>
    <n v="380"/>
    <m/>
    <s v="SEA SHIPMENT"/>
    <s v="Pastry"/>
    <s v="Chocolate"/>
    <s v="Couverture"/>
    <s v="Professional Signature"/>
    <s v="Valrhona"/>
    <x v="46"/>
    <s v="VALRHONA TROPILIA BLANCHE 26%"/>
    <s v="法芙娜托比利亚块状白巧克力"/>
    <n v="20170918"/>
    <d v="2017-10-18T00:00:00"/>
    <x v="7"/>
    <n v="0"/>
    <n v="180"/>
    <s v="EA"/>
    <n v="180"/>
    <s v="EA"/>
    <n v="0"/>
    <m/>
    <n v="0"/>
    <m/>
    <n v="540"/>
    <s v="KG"/>
    <n v="558"/>
    <s v="KG"/>
    <n v="1.8"/>
    <s v="CD3"/>
    <n v="3276.72"/>
    <n v="0"/>
    <n v="0"/>
    <s v="EUR"/>
    <n v="0"/>
    <m/>
    <n v="0"/>
    <m/>
  </r>
  <r>
    <s v="SINODIS ShangHai"/>
    <s v="Katrina WANG"/>
    <n v="100031"/>
    <s v="VALRHONA SAS"/>
    <x v="7"/>
    <n v="390"/>
    <m/>
    <s v="SEA SHIPMENT"/>
    <s v="Pastry"/>
    <s v="Chocolate"/>
    <s v="Couverture"/>
    <s v="Grands Crus"/>
    <s v="Valrhona"/>
    <x v="47"/>
    <s v="VALRHONA Itakuja 55% FEVE 3KG"/>
    <s v="法芙娜艺塔酷嘉黑巧克力豆 (55%) 3公斤"/>
    <n v="20170918"/>
    <d v="2017-10-18T00:00:00"/>
    <x v="7"/>
    <n v="0"/>
    <n v="2"/>
    <s v="EA"/>
    <n v="2"/>
    <s v="EA"/>
    <n v="0"/>
    <m/>
    <n v="0"/>
    <m/>
    <n v="6"/>
    <s v="KG"/>
    <n v="6"/>
    <s v="KG"/>
    <n v="10.44"/>
    <s v="CD3"/>
    <n v="90.8"/>
    <n v="0"/>
    <n v="0"/>
    <s v="EUR"/>
    <n v="0"/>
    <m/>
    <n v="0"/>
    <m/>
  </r>
  <r>
    <s v="SINODIS ShangHai"/>
    <s v="Katrina WANG"/>
    <n v="100031"/>
    <s v="VALRHONA SAS"/>
    <x v="7"/>
    <n v="400"/>
    <m/>
    <s v="SEA SHIPMENT"/>
    <s v="Pastry"/>
    <s v="Chocolate"/>
    <s v="Filling"/>
    <s v="Service"/>
    <s v="Valrhona"/>
    <x v="22"/>
    <s v="VALRHONA Cuvee Bali 68% BLOC 1KG"/>
    <s v="法芙娜巴厘岛甄选巧克力砖 (68%) |1公斤"/>
    <n v="20170918"/>
    <d v="2017-10-18T00:00:00"/>
    <x v="7"/>
    <n v="0"/>
    <n v="18"/>
    <s v="EA"/>
    <n v="18"/>
    <s v="EA"/>
    <n v="0"/>
    <m/>
    <n v="0"/>
    <m/>
    <n v="18"/>
    <s v="KG"/>
    <n v="18"/>
    <s v="KG"/>
    <n v="23.94"/>
    <s v="CD3"/>
    <n v="239.76"/>
    <n v="0"/>
    <n v="0"/>
    <s v="EUR"/>
    <n v="0"/>
    <m/>
    <n v="0"/>
    <m/>
  </r>
  <r>
    <s v="SINODIS ShangHai"/>
    <s v="Katrina WANG"/>
    <n v="100031"/>
    <s v="VALRHONA SAS"/>
    <x v="7"/>
    <n v="410"/>
    <m/>
    <s v="SEA SHIPMENT"/>
    <s v="Pastry"/>
    <s v="Chocolate"/>
    <s v="Couverture"/>
    <s v="Grands Crus"/>
    <s v="Valrhona"/>
    <x v="48"/>
    <s v="VALRHONA KIDAVOA 50% FEVE | 3KG"/>
    <s v="法芙娜科达芙卡牛奶巧克力（50%）| 3公斤"/>
    <n v="20170918"/>
    <d v="2017-10-18T00:00:00"/>
    <x v="7"/>
    <n v="0"/>
    <n v="6"/>
    <s v="EA"/>
    <n v="6"/>
    <s v="EA"/>
    <n v="0"/>
    <m/>
    <n v="0"/>
    <m/>
    <n v="18"/>
    <s v="KG"/>
    <n v="18"/>
    <s v="KG"/>
    <n v="31.35"/>
    <s v="CD3"/>
    <n v="267.60000000000002"/>
    <n v="0"/>
    <n v="0"/>
    <s v="EUR"/>
    <n v="0"/>
    <m/>
    <n v="0"/>
    <m/>
  </r>
  <r>
    <s v="SINODIS ShangHai"/>
    <s v="Katrina WANG"/>
    <n v="100031"/>
    <s v="VALRHONA SAS"/>
    <x v="7"/>
    <n v="420"/>
    <m/>
    <s v="SEA SHIPMENT"/>
    <s v="Pastry"/>
    <s v="Flavors and Extracts"/>
    <s v="Flavor"/>
    <s v="Nuts"/>
    <s v="Valrhona"/>
    <x v="24"/>
    <s v="Valrhona PRALINE PISTACHE 42% FRUITE | 5"/>
    <s v="法芙娜扁桃仁开心果酱|5公斤"/>
    <n v="20170918"/>
    <d v="2017-10-18T00:00:00"/>
    <x v="7"/>
    <n v="0"/>
    <n v="19"/>
    <s v="EA"/>
    <n v="19"/>
    <s v="EA"/>
    <n v="0"/>
    <m/>
    <n v="0"/>
    <m/>
    <n v="95"/>
    <s v="KG"/>
    <n v="95"/>
    <s v="KG"/>
    <n v="158.84"/>
    <s v="CD3"/>
    <n v="1983.87"/>
    <n v="0"/>
    <n v="0"/>
    <s v="EUR"/>
    <n v="0"/>
    <m/>
    <n v="0"/>
    <m/>
  </r>
  <r>
    <s v="SINODIS ShangHai"/>
    <s v="Katrina WANG"/>
    <n v="100031"/>
    <s v="VALRHONA SAS"/>
    <x v="7"/>
    <n v="430"/>
    <m/>
    <s v="SEA SHIPMENT"/>
    <s v="Pastry"/>
    <s v="Flavors and Extracts"/>
    <s v="Flavor"/>
    <s v="Nuts"/>
    <s v="Valrhona"/>
    <x v="25"/>
    <s v="Valrhona PRALINE PECAN 50% FRUITE | 5KG"/>
    <s v="法芙娜碧根果酱|5公斤"/>
    <n v="20170918"/>
    <d v="2017-10-18T00:00:00"/>
    <x v="7"/>
    <n v="0"/>
    <n v="9"/>
    <s v="EA"/>
    <n v="9"/>
    <s v="EA"/>
    <n v="0"/>
    <m/>
    <n v="0"/>
    <m/>
    <n v="45"/>
    <s v="KG"/>
    <n v="45"/>
    <s v="KG"/>
    <n v="75.239999999999995"/>
    <s v="CD3"/>
    <n v="734.27"/>
    <n v="0"/>
    <n v="0"/>
    <s v="EUR"/>
    <n v="0"/>
    <m/>
    <n v="0"/>
    <m/>
  </r>
  <r>
    <s v="SINODIS BeiJing"/>
    <s v="Katrina WANG"/>
    <n v="100031"/>
    <s v="VALRHONA SAS"/>
    <x v="8"/>
    <n v="10"/>
    <m/>
    <s v="air shipment"/>
    <s v="Pastry"/>
    <s v="Chocolate"/>
    <s v="Candy"/>
    <s v="Gift Box"/>
    <s v="Valrhona"/>
    <x v="49"/>
    <s v="VALRHONA PATE A GLACER NOIRE 10 KG"/>
    <s v="法芙娜黑色巧克力片（淋面用） 10千克"/>
    <n v="20170918"/>
    <s v="2017.10.17"/>
    <x v="8"/>
    <n v="0"/>
    <n v="9"/>
    <s v="EA"/>
    <n v="9"/>
    <s v="EA"/>
    <n v="0"/>
    <m/>
    <n v="0"/>
    <m/>
    <n v="90"/>
    <s v="KG"/>
    <n v="99"/>
    <s v="KG"/>
    <n v="225"/>
    <s v="CD3"/>
    <n v="525.47"/>
    <n v="0"/>
    <n v="0"/>
    <s v="EUR"/>
    <n v="0"/>
    <m/>
    <n v="0"/>
    <m/>
  </r>
  <r>
    <s v="SINODIS BeiJing"/>
    <s v="Katrina WANG"/>
    <n v="100031"/>
    <s v="VALRHONA SAS"/>
    <x v="8"/>
    <n v="20"/>
    <m/>
    <s v="air shipment"/>
    <s v="Pastry"/>
    <s v="Nuts"/>
    <s v="Paste"/>
    <s v="Almond"/>
    <s v="Valrhona"/>
    <x v="50"/>
    <s v="VALRHONA ALMONDS PASTES(50%) 4KG/TUB"/>
    <s v="法芙娜扁桃仁膏(50%) 4千克"/>
    <n v="20170918"/>
    <s v="2017.10.17"/>
    <x v="8"/>
    <n v="0"/>
    <n v="72"/>
    <s v="EA"/>
    <n v="72"/>
    <s v="EA"/>
    <n v="0"/>
    <m/>
    <n v="0"/>
    <m/>
    <n v="288"/>
    <s v="KG"/>
    <n v="297.28800000000001"/>
    <s v="KG"/>
    <n v="504.72"/>
    <s v="CD3"/>
    <n v="4590.6000000000004"/>
    <n v="0"/>
    <n v="0"/>
    <s v="EUR"/>
    <n v="0"/>
    <m/>
    <n v="0"/>
    <m/>
  </r>
  <r>
    <s v="SINODIS BeiJing"/>
    <s v="Katrina WANG"/>
    <n v="100031"/>
    <s v="VALRHONA SAS"/>
    <x v="8"/>
    <n v="30"/>
    <m/>
    <s v="air shipment"/>
    <s v="Pastry"/>
    <s v="Chocolate"/>
    <s v="Garnish shell"/>
    <s v="Balls"/>
    <s v="Valrhona"/>
    <x v="51"/>
    <s v="DRK CHOCS BALL 504PC/CTN 1.3Kg"/>
    <s v="法芙娜黑巧克力空心球 504PC/盒"/>
    <n v="20170918"/>
    <s v="2017.10.17"/>
    <x v="8"/>
    <n v="0"/>
    <n v="66"/>
    <s v="EA"/>
    <n v="66"/>
    <s v="EA"/>
    <n v="0"/>
    <m/>
    <n v="0"/>
    <m/>
    <n v="85.8"/>
    <s v="KG"/>
    <n v="122.232"/>
    <s v="KG"/>
    <n v="727.05600000000004"/>
    <s v="CD3"/>
    <n v="1963.37"/>
    <n v="0"/>
    <n v="0"/>
    <s v="EUR"/>
    <n v="0"/>
    <m/>
    <n v="0"/>
    <m/>
  </r>
  <r>
    <s v="SINODIS BeiJing"/>
    <s v="Katrina WANG"/>
    <n v="100031"/>
    <s v="VALRHONA SAS"/>
    <x v="8"/>
    <n v="40"/>
    <m/>
    <s v="air shipment"/>
    <s v="Pastry"/>
    <s v="Chocolate"/>
    <s v="Garnish shell"/>
    <s v="Balls"/>
    <s v="Valrhona"/>
    <x v="52"/>
    <s v="MLK CHOCS BALLS 504PC/CTN 1.3Kg"/>
    <s v="法芙娜牛奶巧克力空心球 504PC/盒"/>
    <n v="20170918"/>
    <s v="2017.10.17"/>
    <x v="8"/>
    <n v="0"/>
    <n v="23"/>
    <s v="EA"/>
    <n v="23"/>
    <s v="EA"/>
    <n v="0"/>
    <m/>
    <n v="0"/>
    <m/>
    <n v="29.9"/>
    <s v="KG"/>
    <n v="42.78"/>
    <s v="KG"/>
    <n v="253.36799999999999"/>
    <s v="CD3"/>
    <n v="684.2"/>
    <n v="0"/>
    <n v="0"/>
    <s v="EUR"/>
    <n v="0"/>
    <m/>
    <n v="0"/>
    <m/>
  </r>
  <r>
    <s v="SINODIS BeiJing"/>
    <s v="Katrina WANG"/>
    <n v="100031"/>
    <s v="VALRHONA SAS"/>
    <x v="8"/>
    <n v="50"/>
    <m/>
    <s v="air shipment"/>
    <s v="Pastry"/>
    <s v="Chocolate"/>
    <s v="Garnish shell"/>
    <s v="Balls"/>
    <s v="Valrhona"/>
    <x v="53"/>
    <s v="WHT CHOCS BALLS 504PC/CTN 1.3Kg"/>
    <s v="法芙娜白巧克力空心球 504PC/盒"/>
    <n v="20170918"/>
    <s v="2017.10.17"/>
    <x v="8"/>
    <n v="0"/>
    <n v="54"/>
    <s v="EA"/>
    <n v="54"/>
    <s v="EA"/>
    <n v="0"/>
    <m/>
    <n v="0"/>
    <m/>
    <n v="70.2"/>
    <s v="KG"/>
    <n v="100.008"/>
    <s v="KG"/>
    <n v="594.86400000000003"/>
    <s v="CD3"/>
    <n v="1641.96"/>
    <n v="0"/>
    <n v="0"/>
    <s v="EUR"/>
    <n v="0"/>
    <m/>
    <n v="0"/>
    <m/>
  </r>
  <r>
    <s v="SINODIS BeiJing"/>
    <s v="Katrina WANG"/>
    <n v="100031"/>
    <s v="VALRHONA SAS"/>
    <x v="8"/>
    <n v="60"/>
    <m/>
    <s v="air shipment"/>
    <s v="Pastry"/>
    <s v="Chocolate"/>
    <s v="Garnish shell"/>
    <s v="Cups"/>
    <s v="Valrhona"/>
    <x v="54"/>
    <s v="MIDI-PYRIS 55% SMALL CAKES 270p"/>
    <s v="法芙娜黑巧克力中型方碗270PC"/>
    <n v="20170918"/>
    <s v="2017.10.17"/>
    <x v="8"/>
    <n v="0"/>
    <n v="3"/>
    <s v="EA"/>
    <n v="3"/>
    <s v="EA"/>
    <n v="0"/>
    <m/>
    <n v="0"/>
    <m/>
    <n v="9"/>
    <s v="KG"/>
    <n v="9.9"/>
    <s v="KG"/>
    <n v="49.74"/>
    <s v="CD3"/>
    <n v="96.15"/>
    <n v="0"/>
    <n v="0"/>
    <s v="EUR"/>
    <n v="0"/>
    <m/>
    <n v="0"/>
    <m/>
  </r>
  <r>
    <s v="SINODIS BeiJing"/>
    <s v="Katrina WANG"/>
    <n v="100031"/>
    <s v="VALRHONA SAS"/>
    <x v="8"/>
    <n v="70"/>
    <m/>
    <s v="air shipment"/>
    <s v="Pastry"/>
    <s v="Chocolate"/>
    <s v="Garnish shell"/>
    <s v="Cups"/>
    <s v="Valrhona"/>
    <x v="55"/>
    <s v="MIDI-OIS 55% SML CAKE 270p"/>
    <s v="法芙娜黑巧克力中型椭圆碗270PC"/>
    <n v="20170918"/>
    <s v="2017.10.17"/>
    <x v="8"/>
    <n v="0"/>
    <n v="2"/>
    <s v="EA"/>
    <n v="2"/>
    <s v="EA"/>
    <n v="0"/>
    <m/>
    <n v="0"/>
    <m/>
    <n v="6"/>
    <s v="KG"/>
    <n v="6.6"/>
    <s v="KG"/>
    <n v="33.159999999999997"/>
    <s v="CD3"/>
    <n v="65.25"/>
    <n v="0"/>
    <n v="0"/>
    <s v="EUR"/>
    <n v="0"/>
    <m/>
    <n v="0"/>
    <m/>
  </r>
  <r>
    <s v="SINODIS BeiJing"/>
    <s v="Katrina WANG"/>
    <n v="100031"/>
    <s v="VALRHONA SAS"/>
    <x v="8"/>
    <n v="80"/>
    <m/>
    <s v="air shipment"/>
    <s v="Pastry"/>
    <s v="Chocolate"/>
    <s v="Individually wrapped"/>
    <s v="Loose"/>
    <s v="Valrhona"/>
    <x v="56"/>
    <s v="VALRHONA SQUARES GRAND CRU CARAIBE200×5G"/>
    <s v="法芙娜加勒比巧克力（±200×5克）/箱"/>
    <n v="20170918"/>
    <s v="2017.10.17"/>
    <x v="8"/>
    <n v="0"/>
    <n v="8"/>
    <s v="EA"/>
    <n v="8"/>
    <s v="EA"/>
    <n v="0"/>
    <m/>
    <n v="0"/>
    <m/>
    <n v="8"/>
    <s v="KG"/>
    <n v="8.8000000000000007"/>
    <s v="KG"/>
    <n v="24"/>
    <s v="CD3"/>
    <n v="165.8"/>
    <n v="0"/>
    <n v="0"/>
    <s v="EUR"/>
    <n v="0"/>
    <m/>
    <n v="0"/>
    <m/>
  </r>
  <r>
    <s v="SINODIS BeiJing"/>
    <s v="Katrina WANG"/>
    <n v="100031"/>
    <s v="VALRHONA SAS"/>
    <x v="8"/>
    <n v="90"/>
    <m/>
    <s v="air shipment"/>
    <s v="Pastry"/>
    <s v="Chocolate"/>
    <s v="Service item"/>
    <s v="Drink"/>
    <s v="Valrhona"/>
    <x v="57"/>
    <s v="CELAYA CHOC CHAUD BRIQUE 6*1L"/>
    <s v="法芙娜巧克力饮品 6*1L"/>
    <n v="20170918"/>
    <s v="2017.10.17"/>
    <x v="8"/>
    <n v="0"/>
    <n v="12"/>
    <s v="EA"/>
    <n v="12"/>
    <s v="EA"/>
    <n v="0"/>
    <m/>
    <n v="0"/>
    <m/>
    <n v="12"/>
    <s v="KG"/>
    <n v="13.2"/>
    <s v="KG"/>
    <n v="2.4"/>
    <s v="CD3"/>
    <n v="47.24"/>
    <n v="0"/>
    <n v="0"/>
    <s v="EUR"/>
    <n v="0"/>
    <m/>
    <n v="0"/>
    <m/>
  </r>
  <r>
    <s v="SINODIS BeiJing"/>
    <s v="Katrina WANG"/>
    <n v="100031"/>
    <s v="VALRHONA SAS"/>
    <x v="8"/>
    <n v="100"/>
    <m/>
    <s v="air shipment"/>
    <s v="Pastry"/>
    <s v="Chocolate"/>
    <s v="Service item"/>
    <s v="Icing"/>
    <s v="Valrhona"/>
    <x v="58"/>
    <s v="ABSOLU GLAZINg 39% DRK CHOCS POT 1Kg"/>
    <s v="法芙娜黑钻石镜面淋酱 1KG"/>
    <n v="20170918"/>
    <s v="2017.10.17"/>
    <x v="8"/>
    <n v="0"/>
    <n v="42"/>
    <s v="EA"/>
    <n v="42"/>
    <s v="EA"/>
    <n v="0"/>
    <m/>
    <n v="0"/>
    <m/>
    <n v="42"/>
    <s v="KG"/>
    <n v="47.963999999999999"/>
    <s v="KG"/>
    <n v="123.60599999999999"/>
    <s v="CD3"/>
    <n v="395.65"/>
    <n v="0"/>
    <n v="0"/>
    <s v="EUR"/>
    <n v="0"/>
    <m/>
    <n v="0"/>
    <m/>
  </r>
  <r>
    <s v="SINODIS BeiJing"/>
    <s v="Katrina WANG"/>
    <n v="100031"/>
    <s v="VALRHONA SAS"/>
    <x v="8"/>
    <n v="110"/>
    <m/>
    <s v="air shipment"/>
    <s v="Pastry"/>
    <s v="Chocolate"/>
    <s v="Candy"/>
    <s v="Loose"/>
    <s v="Valrhona"/>
    <x v="59"/>
    <s v="VALRHONA SENSATION CHAPKA LAIT 120PC"/>
    <s v="法芙娜牛奶巧克力（120颗）"/>
    <n v="20170918"/>
    <s v="2017.10.17"/>
    <x v="8"/>
    <n v="0"/>
    <n v="1"/>
    <s v="EA"/>
    <n v="1"/>
    <s v="EA"/>
    <n v="0"/>
    <m/>
    <n v="0"/>
    <m/>
    <n v="1.2"/>
    <s v="KG"/>
    <n v="1.4"/>
    <s v="KG"/>
    <n v="12"/>
    <s v="CD3"/>
    <n v="30.45"/>
    <n v="0"/>
    <n v="0"/>
    <s v="EUR"/>
    <n v="0"/>
    <m/>
    <n v="0"/>
    <m/>
  </r>
  <r>
    <s v="SINODIS BeiJing"/>
    <s v="Katrina WANG"/>
    <n v="100031"/>
    <s v="VALRHONA SAS"/>
    <x v="8"/>
    <n v="120"/>
    <m/>
    <s v="air shipment"/>
    <s v="Pastry"/>
    <s v="Chocolate"/>
    <s v="Candy"/>
    <s v="Loose"/>
    <s v="Valrhona"/>
    <x v="60"/>
    <s v="VALRHONA FANTAISIES GRAIN DE CAFE BT 1KG"/>
    <s v="法芙娜咖啡巧克力豆 1KG"/>
    <n v="20170918"/>
    <s v="2017.10.17"/>
    <x v="8"/>
    <n v="0"/>
    <n v="5"/>
    <s v="EA"/>
    <n v="5"/>
    <s v="EA"/>
    <n v="0"/>
    <m/>
    <n v="0"/>
    <m/>
    <n v="5"/>
    <s v="KG"/>
    <n v="5.22"/>
    <s v="KG"/>
    <n v="18.36"/>
    <s v="CD3"/>
    <n v="100.74"/>
    <n v="0"/>
    <n v="0"/>
    <s v="EUR"/>
    <n v="0"/>
    <m/>
    <n v="0"/>
    <m/>
  </r>
  <r>
    <s v="SINODIS BeiJing"/>
    <s v="Katrina WANG"/>
    <n v="100031"/>
    <s v="VALRHONA SAS"/>
    <x v="8"/>
    <n v="130"/>
    <m/>
    <s v="air shipment"/>
    <s v="Pastry"/>
    <s v="Chocolate"/>
    <s v="Individually wrapped"/>
    <s v="Loose"/>
    <s v="Valrhona"/>
    <x v="61"/>
    <s v="ECLAT NOIR DE VALRHONA BOITE 1 KG"/>
    <s v="法芙娜黑巧克力棒 1KG"/>
    <n v="20170918"/>
    <s v="2017.10.17"/>
    <x v="8"/>
    <n v="0"/>
    <n v="15"/>
    <s v="EA"/>
    <n v="15"/>
    <s v="EA"/>
    <n v="0"/>
    <m/>
    <n v="0"/>
    <m/>
    <n v="15"/>
    <s v="KG"/>
    <n v="18"/>
    <s v="KG"/>
    <n v="76.5"/>
    <s v="CD3"/>
    <n v="217.8"/>
    <n v="0"/>
    <n v="0"/>
    <s v="EUR"/>
    <n v="0"/>
    <m/>
    <n v="0"/>
    <m/>
  </r>
  <r>
    <s v="SINODIS BeiJing"/>
    <s v="Katrina WANG"/>
    <n v="100031"/>
    <s v="VALRHONA SAS"/>
    <x v="8"/>
    <n v="140"/>
    <m/>
    <s v="air shipment"/>
    <s v="Pastry"/>
    <s v="Chocolate"/>
    <s v="Candy"/>
    <s v="Loose"/>
    <s v="Valrhona"/>
    <x v="62"/>
    <s v="VALRHONA Creme 2KG"/>
    <s v="法芙娜咖啡奶油巧克力 2公斤"/>
    <n v="20170918"/>
    <s v="2017.10.17"/>
    <x v="8"/>
    <n v="0"/>
    <n v="3"/>
    <s v="EA"/>
    <n v="3"/>
    <s v="EA"/>
    <n v="0"/>
    <m/>
    <n v="0"/>
    <m/>
    <n v="6"/>
    <s v="KG"/>
    <n v="7.2"/>
    <s v="KG"/>
    <n v="21.263999999999999"/>
    <s v="CD3"/>
    <n v="138.19"/>
    <n v="0"/>
    <n v="0"/>
    <s v="EUR"/>
    <n v="0"/>
    <m/>
    <n v="0"/>
    <m/>
  </r>
  <r>
    <s v="SINODIS BeiJing"/>
    <s v="Katrina WANG"/>
    <n v="100031"/>
    <s v="VALRHONA SAS"/>
    <x v="8"/>
    <n v="150"/>
    <m/>
    <s v="air shipment"/>
    <s v="Pastry"/>
    <s v="Chocolate"/>
    <s v="Candy"/>
    <s v="Loose"/>
    <s v="Valrhona"/>
    <x v="63"/>
    <s v="VALRHONA SENSATION GANACHE CARAIBE 120PC"/>
    <s v="法芙娜加勒比风味黑巧克力（120颗）"/>
    <n v="20170918"/>
    <s v="2017.10.17"/>
    <x v="8"/>
    <n v="0"/>
    <n v="21"/>
    <s v="EA"/>
    <n v="21"/>
    <s v="EA"/>
    <n v="0"/>
    <m/>
    <n v="0"/>
    <m/>
    <n v="26.67"/>
    <s v="KG"/>
    <n v="30.87"/>
    <s v="KG"/>
    <n v="252"/>
    <s v="CD3"/>
    <n v="639.57000000000005"/>
    <n v="0"/>
    <n v="0"/>
    <s v="EUR"/>
    <n v="0"/>
    <m/>
    <n v="0"/>
    <m/>
  </r>
  <r>
    <s v="SINODIS BeiJing"/>
    <s v="Katrina WANG"/>
    <n v="100031"/>
    <s v="VALRHONA SAS"/>
    <x v="8"/>
    <n v="160"/>
    <m/>
    <s v="air shipment"/>
    <s v="Pastry"/>
    <s v="Chocolate"/>
    <s v="Candy"/>
    <s v="Loose"/>
    <s v="Valrhona"/>
    <x v="64"/>
    <s v="VALRHONA Menthe Vive 2KG"/>
    <s v="法芙娜薄荷黑巧克力 2公斤"/>
    <n v="20170918"/>
    <s v="2017.10.17"/>
    <x v="8"/>
    <n v="0"/>
    <n v="5"/>
    <s v="EA"/>
    <n v="5"/>
    <s v="EA"/>
    <n v="0"/>
    <m/>
    <n v="0"/>
    <m/>
    <n v="10"/>
    <s v="KG"/>
    <n v="11.35"/>
    <s v="KG"/>
    <n v="11.5"/>
    <s v="CD3"/>
    <n v="230.32"/>
    <n v="0"/>
    <n v="0"/>
    <s v="EUR"/>
    <n v="0"/>
    <m/>
    <n v="0"/>
    <m/>
  </r>
  <r>
    <s v="SINODIS BeiJing"/>
    <s v="Katrina WANG"/>
    <n v="100031"/>
    <s v="VALRHONA SAS"/>
    <x v="8"/>
    <n v="170"/>
    <m/>
    <s v="air shipment"/>
    <s v="Pastry"/>
    <s v="Chocolate"/>
    <s v="Candy"/>
    <s v="Loose"/>
    <s v="Valrhona"/>
    <x v="65"/>
    <s v="VALRHONA Douce Amande 2KG"/>
    <s v="法芙娜甜扁桃仁味牛奶巧克力 2千克"/>
    <n v="20170918"/>
    <s v="2017.10.17"/>
    <x v="8"/>
    <n v="0"/>
    <n v="7"/>
    <s v="EA"/>
    <n v="7"/>
    <s v="EA"/>
    <n v="0"/>
    <m/>
    <n v="0"/>
    <m/>
    <n v="14"/>
    <s v="KG"/>
    <n v="15.96"/>
    <s v="KG"/>
    <n v="16.100000000000001"/>
    <s v="CD3"/>
    <n v="322.44"/>
    <n v="0"/>
    <n v="0"/>
    <s v="EUR"/>
    <n v="0"/>
    <m/>
    <n v="0"/>
    <m/>
  </r>
  <r>
    <s v="SINODIS BeiJing"/>
    <s v="Katrina WANG"/>
    <n v="100031"/>
    <s v="VALRHONA SAS"/>
    <x v="8"/>
    <n v="180"/>
    <m/>
    <s v="air shipment"/>
    <s v="Pastry"/>
    <s v="Chocolate"/>
    <s v="Candy"/>
    <s v="Loose"/>
    <s v="Valrhona"/>
    <x v="66"/>
    <s v="VALRHONA COEUR JIVARA 2KG"/>
    <s v="法芙娜焦糖香草牛奶巧克力 2公斤"/>
    <n v="20170918"/>
    <s v="2017.10.17"/>
    <x v="8"/>
    <n v="0"/>
    <n v="9"/>
    <s v="EA"/>
    <n v="9"/>
    <s v="EA"/>
    <n v="0"/>
    <m/>
    <n v="0"/>
    <m/>
    <n v="18"/>
    <s v="KG"/>
    <n v="21.15"/>
    <s v="KG"/>
    <n v="20.7"/>
    <s v="CD3"/>
    <n v="419.69"/>
    <n v="0"/>
    <n v="0"/>
    <s v="EUR"/>
    <n v="0"/>
    <m/>
    <n v="0"/>
    <m/>
  </r>
  <r>
    <s v="SINODIS BeiJing"/>
    <s v="Katrina WANG"/>
    <n v="100031"/>
    <s v="VALRHONA SAS"/>
    <x v="8"/>
    <n v="190"/>
    <m/>
    <s v="air shipment"/>
    <s v="Pastry"/>
    <s v="Chocolate"/>
    <s v="Candy"/>
    <s v="Loose"/>
    <s v="Valrhona"/>
    <x v="67"/>
    <s v="VALRHONA SENSATION MILLEFEUILLE 120PC"/>
    <s v="法芙娜波旁香草味白巧克力（120颗）"/>
    <n v="20170918"/>
    <s v="2017.10.17"/>
    <x v="8"/>
    <n v="0"/>
    <n v="18"/>
    <s v="EA"/>
    <n v="18"/>
    <s v="EA"/>
    <n v="0"/>
    <m/>
    <n v="0"/>
    <m/>
    <n v="21.6"/>
    <s v="KG"/>
    <n v="25.2"/>
    <s v="KG"/>
    <n v="216"/>
    <s v="CD3"/>
    <n v="548.07000000000005"/>
    <n v="0"/>
    <n v="0"/>
    <s v="EUR"/>
    <n v="0"/>
    <m/>
    <n v="0"/>
    <m/>
  </r>
  <r>
    <s v="SINODIS BeiJing"/>
    <s v="Katrina WANG"/>
    <n v="100031"/>
    <s v="VALRHONA SAS"/>
    <x v="8"/>
    <n v="200"/>
    <m/>
    <s v="air shipment"/>
    <s v="Pastry"/>
    <s v="Chocolate"/>
    <s v="Candy"/>
    <s v="Loose"/>
    <s v="Valrhona"/>
    <x v="68"/>
    <s v="VALRHONA Granite Framboise Litch 2KG"/>
    <s v="法芙娜莓肉荔枝巧克力 2公斤"/>
    <n v="20170918"/>
    <s v="2017.10.17"/>
    <x v="8"/>
    <n v="0"/>
    <n v="18"/>
    <s v="EA"/>
    <n v="18"/>
    <s v="EA"/>
    <n v="0"/>
    <m/>
    <n v="0"/>
    <m/>
    <n v="36"/>
    <s v="KG"/>
    <n v="39.6"/>
    <s v="KG"/>
    <n v="99.36"/>
    <s v="CD3"/>
    <n v="829.66"/>
    <n v="0"/>
    <n v="0"/>
    <s v="EUR"/>
    <n v="0"/>
    <m/>
    <n v="0"/>
    <m/>
  </r>
  <r>
    <s v="SINODIS BeiJing"/>
    <s v="Katrina WANG"/>
    <n v="100031"/>
    <s v="VALRHONA SAS"/>
    <x v="8"/>
    <n v="210"/>
    <m/>
    <s v="air shipment"/>
    <s v="Pastry"/>
    <s v="Chocolate"/>
    <s v="Candy"/>
    <s v="Loose"/>
    <s v="Valrhona"/>
    <x v="69"/>
    <s v="VALRHONA Ivoire Cassis 2KG"/>
    <s v="法芙娜黑加仑子白巧克力 2公斤"/>
    <n v="20170918"/>
    <s v="2017.10.17"/>
    <x v="8"/>
    <n v="0"/>
    <n v="30"/>
    <s v="EA"/>
    <n v="30"/>
    <s v="EA"/>
    <n v="0"/>
    <m/>
    <n v="0"/>
    <m/>
    <n v="60"/>
    <s v="KG"/>
    <n v="68.400000000000006"/>
    <s v="KG"/>
    <n v="69"/>
    <s v="CD3"/>
    <n v="1381.89"/>
    <n v="0"/>
    <n v="0"/>
    <s v="EUR"/>
    <n v="0"/>
    <m/>
    <n v="0"/>
    <m/>
  </r>
  <r>
    <s v="SINODIS BeiJing"/>
    <s v="Katrina WANG"/>
    <n v="100031"/>
    <s v="VALRHONA SAS"/>
    <x v="8"/>
    <n v="220"/>
    <m/>
    <s v="air shipment"/>
    <s v="Pastry"/>
    <s v="Chocolate"/>
    <s v="Candy"/>
    <s v="Loose"/>
    <s v="Valrhona"/>
    <x v="70"/>
    <s v="VALRHONA Pralifeuillete Lait 2KG"/>
    <s v="法芙娜脆饼牛奶巧克力 2千克"/>
    <n v="20170918"/>
    <s v="2017.10.17"/>
    <x v="8"/>
    <n v="0"/>
    <n v="13"/>
    <s v="EA"/>
    <n v="13"/>
    <s v="EA"/>
    <n v="0"/>
    <m/>
    <n v="0"/>
    <m/>
    <n v="26"/>
    <s v="KG"/>
    <n v="29.184999999999999"/>
    <s v="KG"/>
    <n v="79.56"/>
    <s v="CD3"/>
    <n v="606.6"/>
    <n v="0"/>
    <n v="0"/>
    <s v="EUR"/>
    <n v="0"/>
    <m/>
    <n v="0"/>
    <m/>
  </r>
  <r>
    <s v="SINODIS BeiJing"/>
    <s v="Katrina WANG"/>
    <n v="100031"/>
    <s v="VALRHONA SAS"/>
    <x v="8"/>
    <n v="230"/>
    <m/>
    <s v="air shipment"/>
    <s v="Pastry"/>
    <s v="Chocolate"/>
    <s v="Candy"/>
    <s v="Loose"/>
    <s v="Valrhona"/>
    <x v="71"/>
    <s v="VALRHONA SENSATION CARAFRUTTI COCO 120PC"/>
    <s v="法芙娜椰子味巧克力（120颗）"/>
    <n v="20170918"/>
    <s v="2017.10.17"/>
    <x v="8"/>
    <n v="0"/>
    <n v="7"/>
    <s v="EA"/>
    <n v="7"/>
    <s v="EA"/>
    <n v="0"/>
    <m/>
    <n v="0"/>
    <m/>
    <n v="8.89"/>
    <s v="KG"/>
    <n v="10.29"/>
    <s v="KG"/>
    <n v="84"/>
    <s v="CD3"/>
    <n v="213.19"/>
    <n v="0"/>
    <n v="0"/>
    <s v="EUR"/>
    <n v="0"/>
    <m/>
    <n v="0"/>
    <m/>
  </r>
  <r>
    <s v="SINODIS BeiJing"/>
    <s v="Katrina WANG"/>
    <n v="100031"/>
    <s v="VALRHONA SAS"/>
    <x v="8"/>
    <n v="240"/>
    <m/>
    <s v="air shipment"/>
    <s v="Pastry"/>
    <s v="Chocolate"/>
    <s v="Candy"/>
    <s v="Loose"/>
    <s v="Valrhona"/>
    <x v="72"/>
    <s v="VALRHONA Carafrutti Abricot 2KG"/>
    <s v="法芙娜杏果牛奶巧克力制品|2公斤"/>
    <n v="20170918"/>
    <s v="2017.10.17"/>
    <x v="8"/>
    <n v="0"/>
    <n v="5"/>
    <s v="EA"/>
    <n v="5"/>
    <s v="EA"/>
    <n v="0"/>
    <m/>
    <n v="0"/>
    <m/>
    <n v="10"/>
    <s v="KG"/>
    <n v="11"/>
    <s v="KG"/>
    <n v="30.6"/>
    <s v="CD3"/>
    <n v="230.32"/>
    <n v="0"/>
    <n v="0"/>
    <s v="EUR"/>
    <n v="0"/>
    <m/>
    <n v="0"/>
    <m/>
  </r>
  <r>
    <s v="SINODIS BeiJing"/>
    <s v="Katrina WANG"/>
    <n v="100031"/>
    <s v="VALRHONA SAS"/>
    <x v="8"/>
    <n v="250"/>
    <m/>
    <s v="air shipment"/>
    <s v="Pastry"/>
    <s v="Chocolate"/>
    <s v="Candy"/>
    <s v="Loose"/>
    <s v="Valrhona"/>
    <x v="73"/>
    <s v="VALRHONA Gianduja Citron 2KG"/>
    <s v="法芙娜伊昂度佳柠檬巧克力 2公斤"/>
    <n v="20170918"/>
    <s v="2017.10.17"/>
    <x v="8"/>
    <n v="0"/>
    <n v="12"/>
    <s v="EA"/>
    <n v="12"/>
    <s v="EA"/>
    <n v="0"/>
    <m/>
    <n v="0"/>
    <m/>
    <n v="24"/>
    <s v="KG"/>
    <n v="27.276"/>
    <s v="KG"/>
    <n v="73.44"/>
    <s v="CD3"/>
    <n v="559.94000000000005"/>
    <n v="0"/>
    <n v="0"/>
    <s v="EUR"/>
    <n v="0"/>
    <m/>
    <n v="0"/>
    <m/>
  </r>
  <r>
    <s v="SINODIS BeiJing"/>
    <s v="Katrina WANG"/>
    <n v="100031"/>
    <s v="VALRHONA SAS"/>
    <x v="8"/>
    <n v="260"/>
    <m/>
    <s v="air shipment"/>
    <s v="Pastry"/>
    <s v="Chocolate"/>
    <s v="Candy"/>
    <s v="Loose"/>
    <s v="Valrhona"/>
    <x v="74"/>
    <s v="VALRHONA Rinette Lait 2KG"/>
    <s v="法芙娜里奈特牛奶巧克力 2千克"/>
    <n v="20170918"/>
    <s v="2017.10.17"/>
    <x v="8"/>
    <n v="0"/>
    <n v="2"/>
    <s v="EA"/>
    <n v="2"/>
    <s v="EA"/>
    <n v="0"/>
    <m/>
    <n v="0"/>
    <m/>
    <n v="4"/>
    <s v="KG"/>
    <n v="4.4000000000000004"/>
    <s v="KG"/>
    <n v="12.24"/>
    <s v="CD3"/>
    <n v="93.32"/>
    <n v="0"/>
    <n v="0"/>
    <s v="EUR"/>
    <n v="0"/>
    <m/>
    <n v="0"/>
    <m/>
  </r>
  <r>
    <s v="SINODIS BeiJing"/>
    <s v="Katrina WANG"/>
    <n v="100031"/>
    <s v="VALRHONA SAS"/>
    <x v="8"/>
    <n v="270"/>
    <m/>
    <s v="air shipment"/>
    <s v="Pastry"/>
    <s v="Chocolate"/>
    <s v="Candy"/>
    <s v="Loose"/>
    <s v="Valrhona"/>
    <x v="75"/>
    <s v="VALRHONA Greta Lait 2KG"/>
    <s v="法芙娜格里塔牛奶巧克力 2千克"/>
    <n v="20170918"/>
    <s v="2017.10.17"/>
    <x v="8"/>
    <n v="0"/>
    <n v="12"/>
    <s v="EA"/>
    <n v="12"/>
    <s v="EA"/>
    <n v="0"/>
    <m/>
    <n v="0"/>
    <m/>
    <n v="24"/>
    <s v="KG"/>
    <n v="26.4"/>
    <s v="KG"/>
    <n v="73.44"/>
    <s v="CD3"/>
    <n v="559.94000000000005"/>
    <n v="0"/>
    <n v="0"/>
    <s v="EUR"/>
    <n v="0"/>
    <m/>
    <n v="0"/>
    <m/>
  </r>
  <r>
    <s v="SINODIS BeiJing"/>
    <s v="Katrina WANG"/>
    <n v="100031"/>
    <s v="VALRHONA SAS"/>
    <x v="8"/>
    <n v="280"/>
    <m/>
    <s v="air shipment"/>
    <s v="Pastry"/>
    <s v="Chocolate"/>
    <s v="Candy"/>
    <s v="Loose"/>
    <s v="Valrhona"/>
    <x v="76"/>
    <s v="VALRHONA Greta Noir 2KG"/>
    <s v="法芙娜格里塔黑巧克力 2千克"/>
    <n v="20170918"/>
    <s v="2017.10.17"/>
    <x v="8"/>
    <n v="0"/>
    <n v="7"/>
    <s v="EA"/>
    <n v="7"/>
    <s v="EA"/>
    <n v="0"/>
    <m/>
    <n v="0"/>
    <m/>
    <n v="14"/>
    <s v="KG"/>
    <n v="15.4"/>
    <s v="KG"/>
    <n v="42.84"/>
    <s v="CD3"/>
    <n v="326.63"/>
    <n v="0"/>
    <n v="0"/>
    <s v="EUR"/>
    <n v="0"/>
    <m/>
    <n v="0"/>
    <m/>
  </r>
  <r>
    <s v="SINODIS BeiJing"/>
    <s v="Katrina WANG"/>
    <n v="100031"/>
    <s v="VALRHONA SAS"/>
    <x v="8"/>
    <n v="290"/>
    <m/>
    <s v="air shipment"/>
    <s v="Pastry"/>
    <s v="Chocolate"/>
    <s v="Individually wrapped"/>
    <s v="Milk"/>
    <s v="Valrhona"/>
    <x v="77"/>
    <s v="Valrhona Eclat Lacte 1KG"/>
    <s v="法芙娜牛奶巧克力棒1KG"/>
    <n v="20170918"/>
    <s v="2017.10.17"/>
    <x v="8"/>
    <n v="0"/>
    <n v="11"/>
    <s v="EA"/>
    <n v="11"/>
    <s v="EA"/>
    <n v="0"/>
    <m/>
    <n v="0"/>
    <m/>
    <n v="11"/>
    <s v="KG"/>
    <n v="12.1"/>
    <s v="KG"/>
    <n v="59.84"/>
    <s v="CD3"/>
    <n v="159.72"/>
    <n v="0"/>
    <n v="0"/>
    <s v="EUR"/>
    <n v="0"/>
    <m/>
    <n v="0"/>
    <m/>
  </r>
  <r>
    <s v="SINODIS BeiJing"/>
    <s v="Katrina WANG"/>
    <n v="100031"/>
    <s v="VALRHONA SAS"/>
    <x v="8"/>
    <n v="300"/>
    <m/>
    <s v="air shipment"/>
    <s v="Pastry"/>
    <s v="Chocolate"/>
    <s v="Candy"/>
    <s v="Loose"/>
    <s v="Valrhona"/>
    <x v="78"/>
    <s v="VALRHONA SENSATION CHAPKA NOIR 120PC"/>
    <s v="法芙娜浓味巧克力（120颗）"/>
    <n v="20170918"/>
    <s v="2017.10.17"/>
    <x v="8"/>
    <n v="0"/>
    <n v="6"/>
    <s v="EA"/>
    <n v="6"/>
    <s v="EA"/>
    <n v="0"/>
    <m/>
    <n v="0"/>
    <m/>
    <n v="7.2"/>
    <s v="KG"/>
    <n v="8.4"/>
    <s v="KG"/>
    <n v="72"/>
    <s v="CD3"/>
    <n v="182.69"/>
    <n v="0"/>
    <n v="0"/>
    <s v="EUR"/>
    <n v="0"/>
    <m/>
    <n v="0"/>
    <m/>
  </r>
  <r>
    <s v="SINODIS BeiJing"/>
    <s v="Katrina WANG"/>
    <n v="100031"/>
    <s v="VALRHONA SAS"/>
    <x v="8"/>
    <n v="310"/>
    <m/>
    <s v="air shipment"/>
    <s v="Pastry"/>
    <s v="Chocolate"/>
    <s v="Candy"/>
    <s v="Loose"/>
    <s v="Valrhona"/>
    <x v="79"/>
    <s v="VALRHONA Granite Grue 2KG"/>
    <s v="法芙娜花岗岩型巧克力糖 2公斤"/>
    <n v="20170918"/>
    <s v="2017.10.17"/>
    <x v="8"/>
    <n v="0"/>
    <n v="9"/>
    <s v="EA"/>
    <n v="9"/>
    <s v="EA"/>
    <n v="0"/>
    <m/>
    <n v="0"/>
    <m/>
    <n v="18"/>
    <s v="KG"/>
    <n v="19.8"/>
    <s v="KG"/>
    <n v="54.648000000000003"/>
    <s v="CD3"/>
    <n v="414.83"/>
    <n v="0"/>
    <n v="0"/>
    <s v="EUR"/>
    <n v="0"/>
    <m/>
    <n v="0"/>
    <m/>
  </r>
  <r>
    <s v="SINODIS BeiJing"/>
    <s v="Katrina WANG"/>
    <n v="100031"/>
    <s v="VALRHONA SAS"/>
    <x v="8"/>
    <n v="320"/>
    <m/>
    <s v="air shipment"/>
    <s v="Pastry"/>
    <s v="Chocolate"/>
    <s v="Individually wrapped"/>
    <s v="Gift Box"/>
    <s v="Valrhona"/>
    <x v="80"/>
    <s v="EQUI MLK/DRK ALMONDS &amp; H'NUTS BOX 250g"/>
    <s v="法芙娜杏仁榛子夹心什锦巧克力糖250克*8"/>
    <n v="20170918"/>
    <s v="2017.10.17"/>
    <x v="8"/>
    <n v="0"/>
    <n v="8"/>
    <s v="EA"/>
    <n v="8"/>
    <s v="EA"/>
    <n v="0"/>
    <m/>
    <n v="0"/>
    <m/>
    <n v="2"/>
    <s v="KG"/>
    <n v="2.4"/>
    <s v="KG"/>
    <n v="11.88"/>
    <s v="CD3"/>
    <n v="59.46"/>
    <n v="0"/>
    <n v="0"/>
    <s v="EUR"/>
    <n v="0"/>
    <m/>
    <n v="0"/>
    <m/>
  </r>
  <r>
    <s v="SINODIS BeiJing"/>
    <s v="Katrina WANG"/>
    <n v="100031"/>
    <s v="VALRHONA SAS"/>
    <x v="8"/>
    <n v="330"/>
    <m/>
    <s v="air shipment"/>
    <s v="Pastry"/>
    <s v="Chocolate"/>
    <s v="Candy"/>
    <s v="Gift Box"/>
    <s v="Valrhona"/>
    <x v="81"/>
    <s v="VALRHONA EQUINOXE CRUNCHY PEARLS PACK 60"/>
    <s v="法芙娜非沃香脆珍珠黑巧克力60克"/>
    <n v="20170918"/>
    <s v="2017.10.17"/>
    <x v="8"/>
    <n v="0"/>
    <n v="3"/>
    <s v="KAR"/>
    <n v="3"/>
    <s v="KAR"/>
    <n v="0"/>
    <m/>
    <n v="0"/>
    <m/>
    <n v="4.68"/>
    <s v="KG"/>
    <n v="4.68"/>
    <s v="KG"/>
    <n v="0"/>
    <s v="CD3"/>
    <n v="149.76"/>
    <n v="0"/>
    <n v="0"/>
    <s v="EUR"/>
    <n v="0"/>
    <m/>
    <n v="0"/>
    <m/>
  </r>
  <r>
    <s v="SINODIS BeiJing"/>
    <s v="Katrina WANG"/>
    <n v="100031"/>
    <s v="VALRHONA SAS"/>
    <x v="8"/>
    <n v="340"/>
    <m/>
    <s v="air shipment"/>
    <s v="Pastry"/>
    <s v="Chocolate"/>
    <s v="Bars"/>
    <s v="Grands Crus"/>
    <s v="Valrhona"/>
    <x v="82"/>
    <s v="VALRHONA GUANAJA (70%) 70 GM BAR"/>
    <s v="法芙娜圭那亚苦味黑巧克力(70%)条 70克"/>
    <n v="20170918"/>
    <s v="2017.10.17"/>
    <x v="8"/>
    <n v="0"/>
    <n v="60"/>
    <s v="EA"/>
    <n v="60"/>
    <s v="EA"/>
    <n v="0"/>
    <m/>
    <n v="0"/>
    <m/>
    <n v="4.2"/>
    <s v="KG"/>
    <n v="4.8"/>
    <s v="KG"/>
    <n v="12"/>
    <s v="CD3"/>
    <n v="91.8"/>
    <n v="0"/>
    <n v="0"/>
    <s v="EUR"/>
    <n v="0"/>
    <m/>
    <n v="0"/>
    <m/>
  </r>
  <r>
    <s v="SINODIS BeiJing"/>
    <s v="Katrina WANG"/>
    <n v="100031"/>
    <s v="VALRHONA SAS"/>
    <x v="8"/>
    <n v="350"/>
    <m/>
    <s v="air shipment"/>
    <s v="Pastry"/>
    <s v="Chocolate"/>
    <s v="Bars"/>
    <s v="Grands Crus"/>
    <s v="Valrhona"/>
    <x v="83"/>
    <s v="VALRHONA MANJARI (64%) 70 GM BAR"/>
    <s v="法芙娜曼特尼巧克力(64%)条70克"/>
    <n v="20170918"/>
    <s v="2017.10.17"/>
    <x v="8"/>
    <n v="0"/>
    <n v="60"/>
    <s v="EA"/>
    <n v="60"/>
    <s v="EA"/>
    <n v="0"/>
    <m/>
    <n v="0"/>
    <m/>
    <n v="4.2"/>
    <s v="KG"/>
    <n v="4.8"/>
    <s v="KG"/>
    <n v="12"/>
    <s v="CD3"/>
    <n v="91.8"/>
    <n v="0"/>
    <n v="0"/>
    <s v="EUR"/>
    <n v="0"/>
    <m/>
    <n v="0"/>
    <m/>
  </r>
  <r>
    <s v="SINODIS BeiJing"/>
    <s v="Katrina WANG"/>
    <n v="100031"/>
    <s v="VALRHONA SAS"/>
    <x v="8"/>
    <n v="360"/>
    <m/>
    <s v="air shipment"/>
    <s v="Pastry"/>
    <s v="Chocolate"/>
    <s v="Bars"/>
    <s v="Grands Crus"/>
    <s v="Valrhona"/>
    <x v="84"/>
    <s v="VALRHONA TANARIVA MILK (33%) 70 GM BAR"/>
    <s v="法芙娜牛奶巧克力(33%)条70克"/>
    <n v="20170918"/>
    <s v="2017.10.17"/>
    <x v="8"/>
    <n v="0"/>
    <n v="24"/>
    <s v="EA"/>
    <n v="24"/>
    <s v="EA"/>
    <n v="0"/>
    <m/>
    <n v="0"/>
    <m/>
    <n v="1.68"/>
    <s v="KG"/>
    <n v="1.92"/>
    <s v="KG"/>
    <n v="4.8"/>
    <s v="CD3"/>
    <n v="36.72"/>
    <n v="0"/>
    <n v="0"/>
    <s v="EUR"/>
    <n v="0"/>
    <m/>
    <n v="0"/>
    <m/>
  </r>
  <r>
    <s v="SINODIS BeiJing"/>
    <s v="Katrina WANG"/>
    <n v="100031"/>
    <s v="VALRHONA SAS"/>
    <x v="8"/>
    <n v="370"/>
    <m/>
    <s v="air shipment"/>
    <s v="Pastry"/>
    <s v="Chocolate"/>
    <s v="Bars"/>
    <s v="Grands Crus"/>
    <s v="Valrhona"/>
    <x v="85"/>
    <s v="VALRHONA CARAIBE (66%) 20 GM / STICK"/>
    <s v="法芙娜加勒比巧克力条20克"/>
    <n v="20170918"/>
    <s v="2017.10.17"/>
    <x v="8"/>
    <n v="0"/>
    <n v="150"/>
    <s v="EA"/>
    <n v="150"/>
    <s v="EA"/>
    <n v="0"/>
    <m/>
    <n v="0"/>
    <m/>
    <n v="3"/>
    <s v="KG"/>
    <n v="6"/>
    <s v="KG"/>
    <n v="30"/>
    <s v="CD3"/>
    <n v="69.75"/>
    <n v="0"/>
    <n v="0"/>
    <s v="EUR"/>
    <n v="0"/>
    <m/>
    <n v="0"/>
    <m/>
  </r>
  <r>
    <s v="SINODIS BeiJing"/>
    <s v="Katrina WANG"/>
    <n v="100031"/>
    <s v="VALRHONA SAS"/>
    <x v="8"/>
    <n v="380"/>
    <m/>
    <s v="air shipment"/>
    <s v="Pastry"/>
    <s v="Chocolate"/>
    <s v="Bars"/>
    <s v="Grands Crus"/>
    <s v="Valrhona"/>
    <x v="86"/>
    <s v="VALRHONA JIVARA MILK (40%) 20 GM STICK"/>
    <s v="法芙娜吉瓦那牛奶巧克力条 20克"/>
    <n v="20170918"/>
    <s v="2017.10.17"/>
    <x v="8"/>
    <n v="0"/>
    <n v="300"/>
    <s v="EA"/>
    <n v="300"/>
    <s v="EA"/>
    <n v="0"/>
    <m/>
    <n v="0"/>
    <m/>
    <n v="6"/>
    <s v="KG"/>
    <n v="12"/>
    <s v="KG"/>
    <n v="60"/>
    <s v="CD3"/>
    <n v="139.5"/>
    <n v="0"/>
    <n v="0"/>
    <s v="EUR"/>
    <n v="0"/>
    <m/>
    <n v="0"/>
    <m/>
  </r>
  <r>
    <s v="SINODIS BeiJing"/>
    <s v="Katrina WANG"/>
    <n v="100031"/>
    <s v="VALRHONA SAS"/>
    <x v="8"/>
    <n v="390"/>
    <m/>
    <s v="air shipment"/>
    <s v="Pastry"/>
    <s v="Chocolate"/>
    <s v="Bars"/>
    <s v="Grands Crus"/>
    <s v="Valrhona"/>
    <x v="87"/>
    <s v="VALRHONA GUANAJA (70%) 20 GM STICK"/>
    <s v="法芙娜圭那亚巧克力条（70%）20克"/>
    <n v="20170918"/>
    <s v="2017.10.17"/>
    <x v="8"/>
    <n v="0"/>
    <n v="550"/>
    <s v="EA"/>
    <n v="550"/>
    <s v="EA"/>
    <n v="0"/>
    <m/>
    <n v="0"/>
    <m/>
    <n v="11"/>
    <s v="KG"/>
    <n v="22"/>
    <s v="KG"/>
    <n v="110"/>
    <s v="CD3"/>
    <n v="255.75"/>
    <n v="0"/>
    <n v="0"/>
    <s v="EUR"/>
    <n v="0"/>
    <m/>
    <n v="0"/>
    <m/>
  </r>
  <r>
    <s v="SINODIS BeiJing"/>
    <s v="Katrina WANG"/>
    <n v="100031"/>
    <s v="VALRHONA SAS"/>
    <x v="8"/>
    <n v="400"/>
    <m/>
    <s v="air shipment"/>
    <s v="Pastry"/>
    <s v="Chocolate"/>
    <s v="Bars"/>
    <s v="Grands Crus"/>
    <s v="Valrhona"/>
    <x v="88"/>
    <s v="VALRHONA CARAIBE HAZELNUT 85 GM BAR"/>
    <s v="法芙娜加勒比榛果巧克力条85克"/>
    <n v="20170918"/>
    <s v="2017.10.17"/>
    <x v="8"/>
    <n v="0"/>
    <n v="20"/>
    <s v="EA"/>
    <n v="20"/>
    <s v="EA"/>
    <n v="0"/>
    <m/>
    <n v="0"/>
    <m/>
    <n v="1.7"/>
    <s v="KG"/>
    <n v="2"/>
    <s v="KG"/>
    <n v="0"/>
    <s v="CD3"/>
    <n v="31.2"/>
    <n v="0"/>
    <n v="0"/>
    <s v="EUR"/>
    <n v="0"/>
    <m/>
    <n v="0"/>
    <m/>
  </r>
  <r>
    <s v="SINODIS BeiJing"/>
    <s v="Katrina WANG"/>
    <n v="100031"/>
    <s v="VALRHONA SAS"/>
    <x v="8"/>
    <n v="410"/>
    <m/>
    <s v="air shipment"/>
    <s v="Pastry"/>
    <s v="Chocolate"/>
    <s v="Candy"/>
    <s v="Loose"/>
    <s v="Valrhona"/>
    <x v="89"/>
    <s v="VALRHONA SENSATION CARAMEL SALE LAIT 120"/>
    <s v="法芙娜奶油焦糖味巧克力（120颗）"/>
    <n v="20170918"/>
    <s v="2017.10.17"/>
    <x v="8"/>
    <n v="0"/>
    <n v="16"/>
    <s v="EA"/>
    <n v="16"/>
    <s v="EA"/>
    <n v="0"/>
    <m/>
    <n v="0"/>
    <m/>
    <n v="19.2"/>
    <s v="KG"/>
    <n v="22.4"/>
    <s v="KG"/>
    <n v="192"/>
    <s v="CD3"/>
    <n v="487.29"/>
    <n v="0"/>
    <n v="0"/>
    <s v="EUR"/>
    <n v="0"/>
    <m/>
    <n v="0"/>
    <m/>
  </r>
  <r>
    <s v="SINODIS BeiJing"/>
    <s v="Katrina WANG"/>
    <n v="100031"/>
    <s v="VALRHONA SAS"/>
    <x v="8"/>
    <n v="420"/>
    <m/>
    <s v="air shipment"/>
    <s v="Pastry"/>
    <s v="Chocolate"/>
    <s v="Candy"/>
    <s v="Loose"/>
    <s v="Valrhona"/>
    <x v="90"/>
    <s v="VALRHONA SENSATION CARAFRUTTI POIRE 120P"/>
    <s v="法芙娜香梨味巧克力（120颗）"/>
    <n v="20170918"/>
    <s v="2017.10.17"/>
    <x v="8"/>
    <n v="0"/>
    <n v="9"/>
    <s v="EA"/>
    <n v="9"/>
    <s v="EA"/>
    <n v="0"/>
    <m/>
    <n v="0"/>
    <m/>
    <n v="11.7"/>
    <s v="KG"/>
    <n v="13.5"/>
    <s v="KG"/>
    <n v="108"/>
    <s v="CD3"/>
    <n v="263.98"/>
    <n v="0"/>
    <n v="0"/>
    <s v="EUR"/>
    <n v="0"/>
    <m/>
    <n v="0"/>
    <m/>
  </r>
  <r>
    <s v="SINODIS BeiJing"/>
    <s v="Katrina WANG"/>
    <n v="100031"/>
    <s v="VALRHONA SAS"/>
    <x v="8"/>
    <n v="430"/>
    <m/>
    <s v="air shipment"/>
    <s v="Pastry"/>
    <s v="Chocolate"/>
    <s v="Candy"/>
    <s v="Loose"/>
    <s v="Valrhona"/>
    <x v="91"/>
    <s v="VALRHONA SENSATION PRALINE INTENSE IVOIR"/>
    <s v="法芙娜混合果仁夹心巧克力（120颗）"/>
    <n v="20170918"/>
    <s v="2017.10.17"/>
    <x v="8"/>
    <n v="0"/>
    <n v="14"/>
    <s v="EA"/>
    <n v="14"/>
    <s v="EA"/>
    <n v="0"/>
    <m/>
    <n v="0"/>
    <m/>
    <n v="15.82"/>
    <s v="KG"/>
    <n v="18.62"/>
    <s v="KG"/>
    <n v="168"/>
    <s v="CD3"/>
    <n v="426.28"/>
    <n v="0"/>
    <n v="0"/>
    <s v="EUR"/>
    <n v="0"/>
    <m/>
    <n v="0"/>
    <m/>
  </r>
  <r>
    <s v="SINODIS BeiJing"/>
    <s v="Katrina WANG"/>
    <n v="100031"/>
    <s v="VALRHONA SAS"/>
    <x v="8"/>
    <n v="440"/>
    <m/>
    <s v="air shipment"/>
    <s v="Pastry"/>
    <s v="Chocolate"/>
    <s v="Candy"/>
    <s v="Loose"/>
    <s v="Valrhona"/>
    <x v="92"/>
    <s v="VALRHONA SENSATION GANACHE THE JASMIN 12"/>
    <s v="法芙娜花茶味巧克力（120颗）"/>
    <n v="20170918"/>
    <s v="2017.10.17"/>
    <x v="8"/>
    <n v="0"/>
    <n v="23"/>
    <s v="EA"/>
    <n v="23"/>
    <s v="EA"/>
    <n v="0"/>
    <m/>
    <n v="0"/>
    <m/>
    <n v="28.98"/>
    <s v="KG"/>
    <n v="33.58"/>
    <s v="KG"/>
    <n v="276"/>
    <s v="CD3"/>
    <n v="674.62"/>
    <n v="0"/>
    <n v="0"/>
    <s v="EUR"/>
    <n v="0"/>
    <m/>
    <n v="0"/>
    <m/>
  </r>
  <r>
    <s v="SINODIS BeiJing"/>
    <s v="Katrina WANG"/>
    <n v="100031"/>
    <s v="VALRHONA SAS"/>
    <x v="8"/>
    <n v="450"/>
    <m/>
    <s v="air shipment"/>
    <s v="Pastry"/>
    <s v="Chocolate"/>
    <s v="Candy"/>
    <s v="Loose"/>
    <s v="Valrhona"/>
    <x v="93"/>
    <s v="VALRHONA SENSATION CAFE NOIR 120PC"/>
    <s v="法芙娜咖啡味巧克力（120颗）"/>
    <n v="20170918"/>
    <s v="2017.10.17"/>
    <x v="8"/>
    <n v="0"/>
    <n v="17"/>
    <s v="EA"/>
    <n v="17"/>
    <s v="EA"/>
    <n v="0"/>
    <m/>
    <n v="0"/>
    <m/>
    <n v="21.42"/>
    <s v="KG"/>
    <n v="24.82"/>
    <s v="KG"/>
    <n v="204"/>
    <s v="CD3"/>
    <n v="498.63"/>
    <n v="0"/>
    <n v="0"/>
    <s v="EUR"/>
    <n v="0"/>
    <m/>
    <n v="0"/>
    <m/>
  </r>
  <r>
    <s v="SINODIS BeiJing"/>
    <s v="Katrina WANG"/>
    <n v="100031"/>
    <s v="VALRHONA SAS"/>
    <x v="8"/>
    <n v="460"/>
    <m/>
    <s v="air shipment"/>
    <s v="Pastry"/>
    <s v="Chocolate"/>
    <s v="Candy"/>
    <s v="Loose"/>
    <s v="Valrhona"/>
    <x v="94"/>
    <s v="VALRHONA PETIT DELICE TIRAMISU 120PC"/>
    <s v="法芙娜提拉米苏味巧克力（120颗）"/>
    <n v="20170918"/>
    <s v="2017.10.17"/>
    <x v="8"/>
    <n v="0"/>
    <n v="10"/>
    <s v="EA"/>
    <n v="10"/>
    <s v="EA"/>
    <n v="0"/>
    <m/>
    <n v="0"/>
    <m/>
    <n v="11.4"/>
    <s v="KG"/>
    <n v="13.4"/>
    <s v="KG"/>
    <n v="120"/>
    <s v="CD3"/>
    <n v="293.31"/>
    <n v="0"/>
    <n v="0"/>
    <s v="EUR"/>
    <n v="0"/>
    <m/>
    <n v="0"/>
    <m/>
  </r>
  <r>
    <s v="SINODIS BeiJing"/>
    <s v="Katrina WANG"/>
    <n v="100031"/>
    <s v="VALRHONA SAS"/>
    <x v="8"/>
    <n v="470"/>
    <m/>
    <s v="air shipment"/>
    <s v="Pastry"/>
    <s v="Chocolate"/>
    <s v="Gianduja"/>
    <s v="Service"/>
    <s v="Valrhona"/>
    <x v="95"/>
    <s v="VALRHONA MILK CHOCOLATE HAZELNUT GIANDU"/>
    <s v="法芙娜榛果夹心牛奶巧克力砖"/>
    <n v="20170918"/>
    <s v="2017.10.17"/>
    <x v="8"/>
    <n v="0"/>
    <n v="10"/>
    <s v="EA"/>
    <n v="10"/>
    <s v="EA"/>
    <n v="0"/>
    <m/>
    <n v="0"/>
    <m/>
    <n v="30"/>
    <s v="KG"/>
    <n v="31"/>
    <s v="KG"/>
    <n v="2.69"/>
    <s v="CD3"/>
    <n v="390.5"/>
    <n v="0"/>
    <n v="0"/>
    <s v="EUR"/>
    <n v="0"/>
    <m/>
    <n v="0"/>
    <m/>
  </r>
  <r>
    <s v="SINODIS BeiJing"/>
    <s v="Katrina WANG"/>
    <n v="100031"/>
    <s v="VALRHONA SAS"/>
    <x v="9"/>
    <n v="10"/>
    <m/>
    <s v="air shipment"/>
    <s v="Pastry"/>
    <s v="Chocolate"/>
    <s v="Individually wrapped"/>
    <s v="Personalized"/>
    <s v="Valrhona"/>
    <x v="96"/>
    <s v="VALRHONA PERSONALIZED JIVARA SQUARES for"/>
    <s v="法芙娜吉瓦那牛奶巧克力块（40%）（梵克雅宝定制）"/>
    <n v="20170921"/>
    <s v="2017.10.07"/>
    <x v="9"/>
    <n v="0"/>
    <n v="102"/>
    <s v="EA"/>
    <n v="102"/>
    <s v="EA"/>
    <n v="0"/>
    <m/>
    <n v="0"/>
    <m/>
    <n v="102"/>
    <s v="KG"/>
    <n v="112.2"/>
    <s v="KG"/>
    <n v="246.84"/>
    <s v="CD3"/>
    <n v="2266.6999999999998"/>
    <n v="0"/>
    <n v="0"/>
    <s v="EUR"/>
    <n v="0"/>
    <m/>
    <n v="0"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  <r>
    <m/>
    <m/>
    <m/>
    <m/>
    <x v="10"/>
    <m/>
    <m/>
    <m/>
    <m/>
    <m/>
    <m/>
    <m/>
    <m/>
    <x v="97"/>
    <m/>
    <m/>
    <m/>
    <m/>
    <x v="10"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6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R1:T4" firstHeaderRow="1" firstDataRow="2" firstDataCol="1"/>
  <pivotFields count="15">
    <pivotField showAll="0"/>
    <pivotField axis="axisRow" showAll="0">
      <items count="273">
        <item m="1" x="9"/>
        <item m="1" x="239"/>
        <item m="1" x="21"/>
        <item m="1" x="253"/>
        <item m="1" x="36"/>
        <item m="1" x="93"/>
        <item m="1" x="58"/>
        <item m="1" x="15"/>
        <item m="1" x="72"/>
        <item m="1" x="29"/>
        <item m="1" x="103"/>
        <item m="1" x="163"/>
        <item m="1" x="183"/>
        <item m="1" x="3"/>
        <item m="1" x="18"/>
        <item m="1" x="33"/>
        <item m="1" x="271"/>
        <item m="1" x="69"/>
        <item m="1" x="98"/>
        <item m="1" x="114"/>
        <item m="1" x="134"/>
        <item m="1" x="52"/>
        <item m="1" x="23"/>
        <item m="1" x="105"/>
        <item m="1" x="57"/>
        <item m="1" x="120"/>
        <item m="1" x="121"/>
        <item m="1" x="71"/>
        <item m="1" x="30"/>
        <item m="1" x="76"/>
        <item m="1" x="137"/>
        <item m="1" x="152"/>
        <item m="1" x="100"/>
        <item m="1" x="135"/>
        <item m="1" x="122"/>
        <item m="1" x="80"/>
        <item m="1" x="192"/>
        <item m="1" x="215"/>
        <item m="1" x="200"/>
        <item m="1" x="176"/>
        <item m="1" x="123"/>
        <item m="1" x="138"/>
        <item m="1" x="225"/>
        <item m="1" x="188"/>
        <item m="1" x="232"/>
        <item m="1" x="115"/>
        <item m="1" x="208"/>
        <item m="1" x="233"/>
        <item m="1" x="250"/>
        <item m="1" x="39"/>
        <item m="1" x="48"/>
        <item m="1" x="61"/>
        <item m="1" x="74"/>
        <item m="1" x="19"/>
        <item m="1" x="34"/>
        <item m="1" x="40"/>
        <item m="1" x="46"/>
        <item m="1" x="62"/>
        <item m="1" x="47"/>
        <item m="1" x="49"/>
        <item m="1" x="16"/>
        <item m="1" x="64"/>
        <item m="1" x="209"/>
        <item m="1" x="8"/>
        <item m="1" x="35"/>
        <item m="1" x="66"/>
        <item m="1" x="94"/>
        <item m="1" x="87"/>
        <item m="1" x="50"/>
        <item m="1" x="83"/>
        <item m="1" x="116"/>
        <item m="1" x="59"/>
        <item m="1" x="27"/>
        <item m="1" x="53"/>
        <item m="1" x="79"/>
        <item m="1" x="171"/>
        <item m="1" x="128"/>
        <item m="1" x="63"/>
        <item m="1" x="88"/>
        <item m="1" x="106"/>
        <item m="1" x="129"/>
        <item m="1" x="230"/>
        <item m="1" x="248"/>
        <item m="1" x="219"/>
        <item m="1" x="220"/>
        <item m="1" x="237"/>
        <item m="1" x="84"/>
        <item m="1" x="37"/>
        <item m="1" x="92"/>
        <item m="1" x="85"/>
        <item m="1" x="117"/>
        <item m="1" x="136"/>
        <item m="1" x="149"/>
        <item m="1" x="166"/>
        <item m="1" x="186"/>
        <item m="1" x="254"/>
        <item m="1" x="210"/>
        <item m="1" x="261"/>
        <item m="1" x="228"/>
        <item m="1" x="2"/>
        <item m="1" x="246"/>
        <item m="1" x="17"/>
        <item m="1" x="110"/>
        <item m="1" x="172"/>
        <item m="1" x="130"/>
        <item m="1" x="242"/>
        <item m="1" x="173"/>
        <item m="1" x="168"/>
        <item m="1" x="269"/>
        <item m="1" x="145"/>
        <item m="1" x="201"/>
        <item m="1" x="255"/>
        <item m="1" x="262"/>
        <item m="1" x="216"/>
        <item m="1" x="4"/>
        <item m="1" x="20"/>
        <item m="1" x="157"/>
        <item m="1" x="174"/>
        <item m="1" x="195"/>
        <item m="1" x="221"/>
        <item m="1" x="238"/>
        <item m="1" x="252"/>
        <item m="1" x="260"/>
        <item m="1" x="1"/>
        <item m="1" x="14"/>
        <item m="1" x="28"/>
        <item m="1" x="169"/>
        <item m="1" x="189"/>
        <item m="1" x="213"/>
        <item m="1" x="234"/>
        <item m="1" x="251"/>
        <item m="1" x="259"/>
        <item m="1" x="270"/>
        <item m="1" x="12"/>
        <item m="1" x="24"/>
        <item m="1" x="41"/>
        <item m="1" x="187"/>
        <item m="1" x="211"/>
        <item m="1" x="229"/>
        <item m="1" x="247"/>
        <item m="1" x="256"/>
        <item m="1" x="266"/>
        <item m="1" x="5"/>
        <item m="1" x="43"/>
        <item m="1" x="55"/>
        <item m="1" x="44"/>
        <item m="1" x="95"/>
        <item m="1" x="111"/>
        <item m="1" x="132"/>
        <item m="1" x="147"/>
        <item m="1" x="164"/>
        <item m="1" x="184"/>
        <item m="1" x="203"/>
        <item m="1" x="153"/>
        <item m="1" x="243"/>
        <item m="1" x="190"/>
        <item m="1" x="56"/>
        <item m="1" x="70"/>
        <item m="1" x="86"/>
        <item m="1" x="99"/>
        <item m="1" x="118"/>
        <item m="1" x="131"/>
        <item m="1" x="146"/>
        <item m="1" x="181"/>
        <item m="1" x="202"/>
        <item m="1" x="224"/>
        <item m="1" x="75"/>
        <item m="1" x="89"/>
        <item m="1" x="107"/>
        <item m="1" x="124"/>
        <item m="1" x="142"/>
        <item m="1" x="158"/>
        <item m="1" x="175"/>
        <item m="1" x="196"/>
        <item x="0"/>
        <item m="1" x="32"/>
        <item m="1" x="42"/>
        <item m="1" x="54"/>
        <item m="1" x="67"/>
        <item m="1" x="81"/>
        <item m="1" x="96"/>
        <item m="1" x="112"/>
        <item m="1" x="51"/>
        <item m="1" x="77"/>
        <item m="1" x="139"/>
        <item m="1" x="218"/>
        <item m="1" x="177"/>
        <item m="1" x="212"/>
        <item m="1" x="90"/>
        <item m="1" x="154"/>
        <item m="1" x="194"/>
        <item m="1" x="197"/>
        <item m="1" x="108"/>
        <item m="1" x="170"/>
        <item m="1" x="249"/>
        <item m="1" x="126"/>
        <item m="1" x="191"/>
        <item m="1" x="240"/>
        <item m="1" x="257"/>
        <item m="1" x="143"/>
        <item m="1" x="214"/>
        <item m="1" x="267"/>
        <item m="1" x="160"/>
        <item m="1" x="235"/>
        <item m="1" x="10"/>
        <item m="1" x="45"/>
        <item m="1" x="140"/>
        <item m="1" x="60"/>
        <item m="1" x="155"/>
        <item m="1" x="104"/>
        <item m="1" x="141"/>
        <item m="1" x="156"/>
        <item m="1" x="102"/>
        <item m="1" x="162"/>
        <item m="1" x="205"/>
        <item m="1" x="119"/>
        <item m="1" x="182"/>
        <item m="1" x="226"/>
        <item m="1" x="231"/>
        <item m="1" x="151"/>
        <item m="1" x="258"/>
        <item m="1" x="167"/>
        <item m="1" x="68"/>
        <item m="1" x="263"/>
        <item m="1" x="165"/>
        <item m="1" x="193"/>
        <item m="1" x="82"/>
        <item m="1" x="6"/>
        <item m="1" x="185"/>
        <item m="1" x="217"/>
        <item m="1" x="38"/>
        <item m="1" x="244"/>
        <item m="1" x="25"/>
        <item m="1" x="97"/>
        <item m="1" x="204"/>
        <item m="1" x="236"/>
        <item m="1" x="113"/>
        <item m="1" x="133"/>
        <item m="1" x="148"/>
        <item m="1" x="264"/>
        <item m="1" x="13"/>
        <item m="1" x="7"/>
        <item m="1" x="26"/>
        <item m="1" x="206"/>
        <item m="1" x="65"/>
        <item m="1" x="159"/>
        <item m="1" x="78"/>
        <item m="1" x="178"/>
        <item m="1" x="91"/>
        <item m="1" x="198"/>
        <item m="1" x="109"/>
        <item m="1" x="222"/>
        <item m="1" x="127"/>
        <item m="1" x="241"/>
        <item m="1" x="144"/>
        <item m="1" x="268"/>
        <item m="1" x="161"/>
        <item m="1" x="11"/>
        <item m="1" x="31"/>
        <item m="1" x="180"/>
        <item m="1" x="22"/>
        <item m="1" x="199"/>
        <item m="1" x="223"/>
        <item m="1" x="73"/>
        <item m="1" x="101"/>
        <item m="1" x="125"/>
        <item m="1" x="150"/>
        <item m="1" x="179"/>
        <item m="1" x="207"/>
        <item m="1" x="227"/>
        <item m="1" x="245"/>
        <item m="1" x="265"/>
        <item t="default"/>
      </items>
    </pivotField>
    <pivotField showAll="0"/>
    <pivotField showAll="0"/>
    <pivotField showAll="0"/>
    <pivotField axis="axisCol" showAll="0">
      <items count="17">
        <item m="1" x="11"/>
        <item m="1" x="8"/>
        <item m="1" x="6"/>
        <item m="1" x="5"/>
        <item m="1" x="4"/>
        <item m="1" x="3"/>
        <item m="1" x="2"/>
        <item m="1" x="1"/>
        <item m="1" x="15"/>
        <item m="1" x="14"/>
        <item m="1" x="12"/>
        <item m="1" x="9"/>
        <item m="1" x="13"/>
        <item m="1" x="10"/>
        <item m="1" x="7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174"/>
    </i>
    <i t="grand">
      <x/>
    </i>
  </rowItems>
  <colFields count="1">
    <field x="5"/>
  </colFields>
  <colItems count="2">
    <i>
      <x v="15"/>
    </i>
    <i t="grand">
      <x/>
    </i>
  </colItems>
  <dataFields count="1">
    <dataField name="Sum of Forecast quantity" fld="6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6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R1:AT4" firstHeaderRow="1" firstDataRow="2" firstDataCol="1"/>
  <pivotFields count="4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34">
        <item m="1" x="27"/>
        <item m="1" x="38"/>
        <item m="1" x="49"/>
        <item m="1" x="60"/>
        <item m="1" x="70"/>
        <item m="1" x="85"/>
        <item m="1" x="98"/>
        <item m="1" x="46"/>
        <item m="1" x="119"/>
        <item m="1" x="151"/>
        <item m="1" x="180"/>
        <item m="1" x="220"/>
        <item m="1" x="79"/>
        <item m="1" x="133"/>
        <item m="1" x="166"/>
        <item m="1" x="169"/>
        <item m="1" x="146"/>
        <item m="1" x="212"/>
        <item m="1" x="108"/>
        <item m="1" x="163"/>
        <item m="1" x="204"/>
        <item m="1" x="221"/>
        <item m="1" x="182"/>
        <item m="1" x="229"/>
        <item m="1" x="138"/>
        <item m="1" x="200"/>
        <item m="1" x="8"/>
        <item m="1" x="40"/>
        <item m="1" x="120"/>
        <item m="1" x="54"/>
        <item m="1" x="134"/>
        <item m="1" x="91"/>
        <item m="1" x="121"/>
        <item m="1" x="135"/>
        <item m="1" x="140"/>
        <item m="1" x="175"/>
        <item m="1" x="155"/>
        <item m="1" x="192"/>
        <item m="1" x="196"/>
        <item m="1" x="130"/>
        <item m="1" x="222"/>
        <item m="1" x="61"/>
        <item m="1" x="143"/>
        <item m="1" x="165"/>
        <item m="1" x="71"/>
        <item m="1" x="158"/>
        <item m="1" x="185"/>
        <item m="1" x="208"/>
        <item m="1" x="22"/>
        <item m="1" x="99"/>
        <item m="1" x="114"/>
        <item m="1" x="176"/>
        <item m="1" x="67"/>
        <item m="1" x="95"/>
        <item m="1" x="109"/>
        <item m="1" x="124"/>
        <item m="1" x="230"/>
        <item m="1" x="139"/>
        <item m="1" x="9"/>
        <item m="1" x="26"/>
        <item m="1" x="153"/>
        <item m="1" x="19"/>
        <item m="1" x="170"/>
        <item m="1" x="188"/>
        <item m="1" x="89"/>
        <item m="1" x="107"/>
        <item m="1" x="129"/>
        <item m="1" x="152"/>
        <item m="1" x="193"/>
        <item m="1" x="209"/>
        <item m="1" x="227"/>
        <item x="0"/>
        <item m="1" x="31"/>
        <item m="1" x="62"/>
        <item m="1" x="51"/>
        <item m="1" x="226"/>
        <item m="1" x="154"/>
        <item m="1" x="195"/>
        <item m="1" x="88"/>
        <item m="1" x="232"/>
        <item m="1" x="18"/>
        <item m="1" x="32"/>
        <item m="1" x="65"/>
        <item m="1" x="52"/>
        <item m="1" x="28"/>
        <item m="1" x="7"/>
        <item m="1" x="64"/>
        <item m="1" x="29"/>
        <item m="1" x="15"/>
        <item m="1" x="43"/>
        <item m="1" x="125"/>
        <item m="1" x="211"/>
        <item m="1" x="63"/>
        <item m="1" x="92"/>
        <item m="1" x="103"/>
        <item m="1" x="42"/>
        <item m="1" x="178"/>
        <item m="1" x="6"/>
        <item m="1" x="132"/>
        <item m="1" x="150"/>
        <item m="1" x="162"/>
        <item m="1" x="50"/>
        <item m="1" x="86"/>
        <item m="1" x="55"/>
        <item m="1" x="16"/>
        <item m="1" x="5"/>
        <item m="1" x="82"/>
        <item m="1" x="177"/>
        <item m="1" x="198"/>
        <item m="1" x="142"/>
        <item m="1" x="174"/>
        <item m="1" x="35"/>
        <item m="1" x="41"/>
        <item m="1" x="4"/>
        <item m="1" x="69"/>
        <item m="1" x="58"/>
        <item m="1" x="179"/>
        <item m="1" x="228"/>
        <item m="1" x="24"/>
        <item m="1" x="113"/>
        <item m="1" x="157"/>
        <item m="1" x="100"/>
        <item m="1" x="115"/>
        <item m="1" x="171"/>
        <item m="1" x="93"/>
        <item m="1" x="199"/>
        <item m="1" x="45"/>
        <item m="1" x="206"/>
        <item m="1" x="39"/>
        <item m="1" x="117"/>
        <item m="1" x="68"/>
        <item m="1" x="76"/>
        <item m="1" x="12"/>
        <item m="1" x="75"/>
        <item m="1" x="218"/>
        <item m="1" x="186"/>
        <item m="1" x="191"/>
        <item m="1" x="73"/>
        <item m="1" x="122"/>
        <item m="1" x="81"/>
        <item m="1" x="83"/>
        <item m="1" x="17"/>
        <item m="1" x="87"/>
        <item m="1" x="105"/>
        <item m="1" x="118"/>
        <item m="1" x="78"/>
        <item m="1" x="84"/>
        <item m="1" x="47"/>
        <item m="1" x="217"/>
        <item m="1" x="225"/>
        <item m="1" x="48"/>
        <item m="1" x="144"/>
        <item m="1" x="53"/>
        <item m="1" x="106"/>
        <item m="1" x="147"/>
        <item m="1" x="111"/>
        <item m="1" x="183"/>
        <item m="1" x="97"/>
        <item m="1" x="127"/>
        <item m="1" x="214"/>
        <item m="1" x="110"/>
        <item m="1" x="197"/>
        <item m="1" x="145"/>
        <item m="1" x="161"/>
        <item m="1" x="141"/>
        <item m="1" x="11"/>
        <item m="1" x="164"/>
        <item m="1" x="33"/>
        <item m="1" x="23"/>
        <item m="1" x="205"/>
        <item m="1" x="3"/>
        <item m="1" x="21"/>
        <item m="1" x="30"/>
        <item m="1" x="102"/>
        <item m="1" x="10"/>
        <item m="1" x="56"/>
        <item m="1" x="149"/>
        <item m="1" x="57"/>
        <item m="1" x="136"/>
        <item m="1" x="37"/>
        <item m="1" x="207"/>
        <item m="1" x="116"/>
        <item m="1" x="160"/>
        <item m="1" x="34"/>
        <item m="1" x="231"/>
        <item m="1" x="201"/>
        <item m="1" x="104"/>
        <item m="1" x="44"/>
        <item m="1" x="187"/>
        <item m="1" x="215"/>
        <item m="1" x="189"/>
        <item m="1" x="96"/>
        <item m="1" x="126"/>
        <item m="1" x="80"/>
        <item m="1" x="59"/>
        <item m="1" x="159"/>
        <item m="1" x="181"/>
        <item m="1" x="224"/>
        <item m="1" x="1"/>
        <item m="1" x="72"/>
        <item m="1" x="90"/>
        <item m="1" x="20"/>
        <item m="1" x="2"/>
        <item m="1" x="167"/>
        <item m="1" x="223"/>
        <item m="1" x="112"/>
        <item m="1" x="213"/>
        <item m="1" x="194"/>
        <item m="1" x="25"/>
        <item m="1" x="210"/>
        <item m="1" x="216"/>
        <item m="1" x="101"/>
        <item m="1" x="203"/>
        <item m="1" x="13"/>
        <item m="1" x="137"/>
        <item m="1" x="148"/>
        <item m="1" x="184"/>
        <item m="1" x="128"/>
        <item m="1" x="74"/>
        <item m="1" x="66"/>
        <item m="1" x="123"/>
        <item m="1" x="131"/>
        <item m="1" x="219"/>
        <item m="1" x="173"/>
        <item m="1" x="190"/>
        <item m="1" x="94"/>
        <item m="1" x="36"/>
        <item m="1" x="172"/>
        <item m="1" x="14"/>
        <item m="1" x="156"/>
        <item m="1" x="202"/>
        <item m="1" x="77"/>
        <item m="1" x="168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1">
        <item m="1" x="3"/>
        <item m="1" x="4"/>
        <item m="1" x="5"/>
        <item m="1" x="6"/>
        <item m="1" x="7"/>
        <item m="1" x="8"/>
        <item m="1" x="9"/>
        <item m="1" x="1"/>
        <item m="1" x="2"/>
        <item x="0"/>
        <item t="default"/>
      </items>
    </pivotField>
    <pivotField showAll="0"/>
    <pivotField showAll="0"/>
    <pivotField showAll="0"/>
  </pivotFields>
  <rowFields count="1">
    <field x="23"/>
  </rowFields>
  <rowItems count="2">
    <i>
      <x v="71"/>
    </i>
    <i t="grand">
      <x/>
    </i>
  </rowItems>
  <colFields count="1">
    <field x="37"/>
  </colFields>
  <colItems count="2">
    <i>
      <x v="9"/>
    </i>
    <i t="grand">
      <x/>
    </i>
  </colItems>
  <dataFields count="1">
    <dataField name="Sum of Quantity" fld="26" baseField="23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8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compact="0" outline="1" outlineData="1" compactData="0" multipleFieldFilters="0">
  <location ref="AS1:BE143" firstHeaderRow="1" firstDataRow="2" firstDataCol="2"/>
  <pivotFields count="42">
    <pivotField compact="0" showAll="0" defaultSubtotal="0"/>
    <pivotField compact="0" showAll="0" defaultSubtotal="0"/>
    <pivotField compact="0" showAll="0" defaultSubtotal="0"/>
    <pivotField compact="0" showAll="0" defaultSubtotal="0"/>
    <pivotField axis="axisRow" compact="0" showAll="0" defaultSubtotal="0">
      <items count="33">
        <item x="0"/>
        <item x="1"/>
        <item x="2"/>
        <item x="3"/>
        <item x="4"/>
        <item x="5"/>
        <item x="6"/>
        <item x="10"/>
        <item m="1" x="29"/>
        <item m="1" x="15"/>
        <item m="1" x="22"/>
        <item m="1" x="16"/>
        <item m="1" x="31"/>
        <item m="1" x="25"/>
        <item m="1" x="18"/>
        <item m="1" x="13"/>
        <item m="1" x="19"/>
        <item m="1" x="11"/>
        <item m="1" x="27"/>
        <item m="1" x="20"/>
        <item m="1" x="28"/>
        <item m="1" x="21"/>
        <item m="1" x="12"/>
        <item m="1" x="23"/>
        <item m="1" x="24"/>
        <item m="1" x="17"/>
        <item m="1" x="32"/>
        <item m="1" x="14"/>
        <item m="1" x="30"/>
        <item m="1" x="26"/>
        <item x="7"/>
        <item x="8"/>
        <item x="9"/>
      </items>
    </pivotField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axis="axisRow" compact="0" showAll="0" defaultSubtotal="0">
      <items count="130">
        <item x="3"/>
        <item x="26"/>
        <item x="4"/>
        <item x="15"/>
        <item x="12"/>
        <item x="0"/>
        <item x="5"/>
        <item x="6"/>
        <item x="7"/>
        <item x="8"/>
        <item x="16"/>
        <item x="19"/>
        <item x="30"/>
        <item m="1" x="128"/>
        <item x="31"/>
        <item x="2"/>
        <item x="32"/>
        <item x="33"/>
        <item x="9"/>
        <item x="35"/>
        <item x="20"/>
        <item x="36"/>
        <item x="17"/>
        <item x="10"/>
        <item x="11"/>
        <item x="38"/>
        <item x="13"/>
        <item x="41"/>
        <item x="14"/>
        <item x="1"/>
        <item x="43"/>
        <item x="44"/>
        <item x="46"/>
        <item x="21"/>
        <item x="18"/>
        <item x="22"/>
        <item x="23"/>
        <item x="24"/>
        <item x="25"/>
        <item x="97"/>
        <item m="1" x="124"/>
        <item m="1" x="127"/>
        <item m="1" x="129"/>
        <item m="1" x="122"/>
        <item m="1" x="105"/>
        <item m="1" x="101"/>
        <item m="1" x="114"/>
        <item m="1" x="118"/>
        <item m="1" x="121"/>
        <item m="1" x="120"/>
        <item m="1" x="123"/>
        <item m="1" x="100"/>
        <item m="1" x="103"/>
        <item m="1" x="117"/>
        <item m="1" x="112"/>
        <item m="1" x="113"/>
        <item m="1" x="126"/>
        <item m="1" x="116"/>
        <item m="1" x="119"/>
        <item m="1" x="125"/>
        <item m="1" x="107"/>
        <item m="1" x="98"/>
        <item m="1" x="99"/>
        <item m="1" x="102"/>
        <item m="1" x="104"/>
        <item m="1" x="106"/>
        <item m="1" x="108"/>
        <item m="1" x="111"/>
        <item m="1" x="109"/>
        <item m="1" x="115"/>
        <item m="1" x="110"/>
        <item x="27"/>
        <item x="28"/>
        <item x="29"/>
        <item x="34"/>
        <item x="37"/>
        <item x="39"/>
        <item x="40"/>
        <item x="42"/>
        <item x="45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</items>
    </pivotField>
    <pivotField compact="0" showAll="0" defaultSubtotal="0"/>
    <pivotField compact="0" showAll="0" defaultSubtotal="0"/>
    <pivotField compact="0" showAll="0" defaultSubtotal="0"/>
    <pivotField compact="0" showAll="0" defaultSubtotal="0"/>
    <pivotField axis="axisCol" compact="0" showAll="0" defaultSubtotal="0">
      <items count="29">
        <item x="0"/>
        <item x="2"/>
        <item m="1" x="11"/>
        <item x="3"/>
        <item x="6"/>
        <item x="5"/>
        <item x="4"/>
        <item x="10"/>
        <item m="1" x="22"/>
        <item m="1" x="21"/>
        <item m="1" x="26"/>
        <item m="1" x="23"/>
        <item m="1" x="24"/>
        <item m="1" x="25"/>
        <item m="1" x="12"/>
        <item m="1" x="27"/>
        <item m="1" x="18"/>
        <item m="1" x="15"/>
        <item m="1" x="14"/>
        <item m="1" x="19"/>
        <item x="8"/>
        <item m="1" x="28"/>
        <item m="1" x="17"/>
        <item m="1" x="20"/>
        <item m="1" x="16"/>
        <item m="1" x="13"/>
        <item x="1"/>
        <item x="7"/>
        <item x="9"/>
      </items>
    </pivotField>
    <pivotField compact="0" showAll="0" defaultSubtotal="0"/>
    <pivotField dataField="1"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</pivotFields>
  <rowFields count="2">
    <field x="4"/>
    <field x="13"/>
  </rowFields>
  <rowItems count="141">
    <i>
      <x/>
    </i>
    <i r="1">
      <x v="5"/>
    </i>
    <i r="1">
      <x v="15"/>
    </i>
    <i r="1">
      <x v="29"/>
    </i>
    <i>
      <x v="1"/>
    </i>
    <i r="1">
      <x/>
    </i>
    <i r="1">
      <x v="2"/>
    </i>
    <i r="1">
      <x v="6"/>
    </i>
    <i r="1">
      <x v="7"/>
    </i>
    <i r="1">
      <x v="8"/>
    </i>
    <i r="1">
      <x v="9"/>
    </i>
    <i r="1">
      <x v="18"/>
    </i>
    <i r="1">
      <x v="23"/>
    </i>
    <i>
      <x v="2"/>
    </i>
    <i r="1">
      <x v="24"/>
    </i>
    <i>
      <x v="3"/>
    </i>
    <i r="1">
      <x/>
    </i>
    <i r="1">
      <x v="4"/>
    </i>
    <i r="1">
      <x v="6"/>
    </i>
    <i r="1">
      <x v="7"/>
    </i>
    <i r="1">
      <x v="8"/>
    </i>
    <i r="1">
      <x v="18"/>
    </i>
    <i r="1">
      <x v="23"/>
    </i>
    <i r="1">
      <x v="26"/>
    </i>
    <i r="1">
      <x v="28"/>
    </i>
    <i>
      <x v="4"/>
    </i>
    <i r="1">
      <x/>
    </i>
    <i r="1">
      <x v="2"/>
    </i>
    <i r="1">
      <x v="3"/>
    </i>
    <i r="1">
      <x v="4"/>
    </i>
    <i r="1">
      <x v="6"/>
    </i>
    <i r="1">
      <x v="7"/>
    </i>
    <i r="1">
      <x v="10"/>
    </i>
    <i r="1">
      <x v="22"/>
    </i>
    <i r="1">
      <x v="28"/>
    </i>
    <i>
      <x v="5"/>
    </i>
    <i r="1">
      <x v="34"/>
    </i>
    <i>
      <x v="6"/>
    </i>
    <i r="1">
      <x v="11"/>
    </i>
    <i r="1">
      <x v="20"/>
    </i>
    <i r="1">
      <x v="33"/>
    </i>
    <i r="1">
      <x v="35"/>
    </i>
    <i r="1">
      <x v="36"/>
    </i>
    <i r="1">
      <x v="37"/>
    </i>
    <i r="1">
      <x v="38"/>
    </i>
    <i>
      <x v="7"/>
    </i>
    <i r="1">
      <x v="39"/>
    </i>
    <i>
      <x v="3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2"/>
    </i>
    <i r="1">
      <x v="23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5"/>
    </i>
    <i r="1">
      <x v="37"/>
    </i>
    <i r="1">
      <x v="38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>
      <x v="3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>
      <x v="32"/>
    </i>
    <i r="1">
      <x v="129"/>
    </i>
  </rowItems>
  <colFields count="1">
    <field x="18"/>
  </colFields>
  <colItems count="11">
    <i>
      <x/>
    </i>
    <i>
      <x v="1"/>
    </i>
    <i>
      <x v="3"/>
    </i>
    <i>
      <x v="4"/>
    </i>
    <i>
      <x v="5"/>
    </i>
    <i>
      <x v="6"/>
    </i>
    <i>
      <x v="7"/>
    </i>
    <i>
      <x v="20"/>
    </i>
    <i>
      <x v="26"/>
    </i>
    <i>
      <x v="27"/>
    </i>
    <i>
      <x v="28"/>
    </i>
  </colItems>
  <dataFields count="1">
    <dataField name="Sum of PO Quantity" fld="20" baseField="13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7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U1:W3" firstHeaderRow="0" firstDataRow="1" firstDataCol="1"/>
  <pivotFields count="19">
    <pivotField axis="axisRow" showAll="0">
      <items count="721">
        <item m="1" x="356"/>
        <item m="1" x="389"/>
        <item m="1" x="357"/>
        <item m="1" x="391"/>
        <item m="1" x="358"/>
        <item m="1" x="347"/>
        <item m="1" x="360"/>
        <item m="1" x="396"/>
        <item m="1" x="362"/>
        <item m="1" x="399"/>
        <item m="1" x="349"/>
        <item m="1" x="350"/>
        <item m="1" x="612"/>
        <item m="1" x="616"/>
        <item m="1" x="620"/>
        <item m="1" x="23"/>
        <item m="1" x="626"/>
        <item m="1" x="633"/>
        <item m="1" x="639"/>
        <item m="1" x="643"/>
        <item m="1" x="592"/>
        <item m="1" x="605"/>
        <item m="1" x="207"/>
        <item m="1" x="211"/>
        <item m="1" x="215"/>
        <item m="1" x="4"/>
        <item m="1" x="584"/>
        <item m="1" x="329"/>
        <item m="1" x="351"/>
        <item m="1" x="335"/>
        <item m="1" x="337"/>
        <item m="1" x="205"/>
        <item m="1" x="2"/>
        <item m="1" x="346"/>
        <item m="1" x="185"/>
        <item m="1" x="318"/>
        <item m="1" x="195"/>
        <item m="1" x="564"/>
        <item m="1" x="573"/>
        <item m="1" x="249"/>
        <item m="1" x="253"/>
        <item m="1" x="376"/>
        <item m="1" x="280"/>
        <item m="1" x="283"/>
        <item m="1" x="240"/>
        <item m="1" x="242"/>
        <item m="1" x="221"/>
        <item m="1" x="224"/>
        <item m="1" x="227"/>
        <item m="1" x="681"/>
        <item m="1" x="234"/>
        <item m="1" x="247"/>
        <item m="1" x="265"/>
        <item m="1" x="273"/>
        <item m="1" x="246"/>
        <item m="1" x="345"/>
        <item m="1" x="231"/>
        <item m="1" x="718"/>
        <item m="1" x="606"/>
        <item m="1" x="611"/>
        <item m="1" x="341"/>
        <item m="1" x="206"/>
        <item m="1" x="209"/>
        <item m="1" x="210"/>
        <item m="1" x="344"/>
        <item m="1" x="216"/>
        <item m="1" x="582"/>
        <item m="1" x="583"/>
        <item m="1" x="585"/>
        <item m="1" x="299"/>
        <item m="1" x="8"/>
        <item m="1" x="9"/>
        <item m="1" x="686"/>
        <item m="1" x="638"/>
        <item m="1" x="233"/>
        <item m="1" x="717"/>
        <item m="1" x="609"/>
        <item m="1" x="315"/>
        <item m="1" x="317"/>
        <item m="1" x="361"/>
        <item m="1" x="363"/>
        <item m="1" x="365"/>
        <item m="1" x="367"/>
        <item m="1" x="11"/>
        <item m="1" x="711"/>
        <item m="1" x="113"/>
        <item m="1" x="684"/>
        <item m="1" x="657"/>
        <item m="1" x="664"/>
        <item m="1" x="670"/>
        <item m="1" x="672"/>
        <item m="1" x="56"/>
        <item m="1" x="675"/>
        <item m="1" x="678"/>
        <item m="1" x="244"/>
        <item m="1" x="248"/>
        <item m="1" x="252"/>
        <item m="1" x="256"/>
        <item m="1" x="262"/>
        <item m="1" x="266"/>
        <item m="1" x="270"/>
        <item m="1" x="274"/>
        <item m="1" x="278"/>
        <item m="1" x="630"/>
        <item m="1" x="636"/>
        <item m="1" x="641"/>
        <item m="1" x="645"/>
        <item m="1" x="648"/>
        <item m="1" x="651"/>
        <item m="1" x="654"/>
        <item m="1" x="655"/>
        <item m="1" x="659"/>
        <item m="1" x="229"/>
        <item m="1" x="232"/>
        <item m="1" x="237"/>
        <item m="1" x="238"/>
        <item m="1" x="239"/>
        <item m="1" x="241"/>
        <item m="1" x="623"/>
        <item m="1" x="629"/>
        <item m="1" x="364"/>
        <item m="1" x="366"/>
        <item m="1" x="368"/>
        <item m="1" x="369"/>
        <item m="1" x="371"/>
        <item m="1" x="372"/>
        <item m="1" x="374"/>
        <item m="1" x="339"/>
        <item m="1" x="377"/>
        <item m="1" x="342"/>
        <item m="1" x="710"/>
        <item m="1" x="713"/>
        <item m="1" x="714"/>
        <item m="1" x="715"/>
        <item m="1" x="316"/>
        <item m="1" x="319"/>
        <item m="1" x="325"/>
        <item m="1" x="328"/>
        <item m="1" x="691"/>
        <item m="1" x="698"/>
        <item m="1" x="700"/>
        <item m="1" x="702"/>
        <item m="1" x="704"/>
        <item m="1" x="708"/>
        <item m="1" x="712"/>
        <item m="1" x="296"/>
        <item x="0"/>
        <item m="1" x="243"/>
        <item m="1" x="250"/>
        <item m="1" x="255"/>
        <item m="1" x="628"/>
        <item m="1" x="218"/>
        <item m="1" x="219"/>
        <item m="1" x="222"/>
        <item m="1" x="228"/>
        <item m="1" x="230"/>
        <item m="1" x="235"/>
        <item m="1" x="597"/>
        <item m="1" x="599"/>
        <item m="1" x="602"/>
        <item m="1" x="615"/>
        <item m="1" x="355"/>
        <item m="1" x="604"/>
        <item m="1" x="689"/>
        <item m="1" x="176"/>
        <item m="1" x="213"/>
        <item m="1" x="581"/>
        <item m="1" x="6"/>
        <item m="1" x="588"/>
        <item m="1" x="197"/>
        <item m="1" x="200"/>
        <item m="1" x="201"/>
        <item m="1" x="203"/>
        <item m="1" x="575"/>
        <item m="1" x="180"/>
        <item m="1" x="187"/>
        <item m="1" x="192"/>
        <item m="1" x="719"/>
        <item m="1" x="566"/>
        <item m="1" x="568"/>
        <item m="1" x="572"/>
        <item m="1" x="1"/>
        <item m="1" x="257"/>
        <item m="1" x="260"/>
        <item m="1" x="263"/>
        <item m="1" x="267"/>
        <item m="1" x="271"/>
        <item m="1" x="610"/>
        <item m="1" x="614"/>
        <item m="1" x="17"/>
        <item m="1" x="373"/>
        <item m="1" x="269"/>
        <item m="1" x="277"/>
        <item m="1" x="635"/>
        <item m="1" x="640"/>
        <item m="1" x="644"/>
        <item m="1" x="647"/>
        <item m="1" x="650"/>
        <item m="1" x="653"/>
        <item m="1" x="251"/>
        <item m="1" x="617"/>
        <item m="1" x="220"/>
        <item m="1" x="223"/>
        <item m="1" x="226"/>
        <item m="1" x="236"/>
        <item m="1" x="593"/>
        <item m="1" x="595"/>
        <item m="1" x="596"/>
        <item m="1" x="598"/>
        <item m="1" x="600"/>
        <item m="1" x="603"/>
        <item m="1" x="204"/>
        <item m="1" x="208"/>
        <item m="1" x="212"/>
        <item m="1" x="214"/>
        <item m="1" x="577"/>
        <item m="1" x="578"/>
        <item m="1" x="579"/>
        <item m="1" x="590"/>
        <item m="1" x="302"/>
        <item m="1" x="304"/>
        <item m="1" x="306"/>
        <item m="1" x="309"/>
        <item m="1" x="313"/>
        <item m="1" x="677"/>
        <item m="1" x="683"/>
        <item m="1" x="688"/>
        <item m="1" x="690"/>
        <item m="1" x="694"/>
        <item m="1" x="697"/>
        <item m="1" x="276"/>
        <item m="1" x="284"/>
        <item m="1" x="291"/>
        <item m="1" x="295"/>
        <item m="1" x="298"/>
        <item m="1" x="301"/>
        <item m="1" x="658"/>
        <item m="1" x="661"/>
        <item m="1" x="663"/>
        <item m="1" x="665"/>
        <item m="1" x="667"/>
        <item m="1" x="669"/>
        <item m="1" x="5"/>
        <item m="1" x="671"/>
        <item m="1" x="673"/>
        <item m="1" x="676"/>
        <item m="1" x="679"/>
        <item m="1" x="245"/>
        <item m="1" x="254"/>
        <item m="1" x="258"/>
        <item m="1" x="261"/>
        <item m="1" x="264"/>
        <item m="1" x="268"/>
        <item m="1" x="281"/>
        <item m="1" x="632"/>
        <item m="1" x="642"/>
        <item m="1" x="646"/>
        <item m="1" x="649"/>
        <item m="1" x="652"/>
        <item m="1" x="607"/>
        <item m="1" x="587"/>
        <item m="1" x="589"/>
        <item m="1" x="594"/>
        <item m="1" x="311"/>
        <item m="1" x="312"/>
        <item m="1" x="314"/>
        <item m="1" x="320"/>
        <item m="1" x="322"/>
        <item m="1" x="324"/>
        <item m="1" x="327"/>
        <item m="1" x="331"/>
        <item m="1" x="693"/>
        <item m="1" x="696"/>
        <item m="1" x="699"/>
        <item m="1" x="701"/>
        <item m="1" x="703"/>
        <item m="1" x="706"/>
        <item m="1" x="707"/>
        <item m="1" x="709"/>
        <item m="1" x="303"/>
        <item m="1" x="305"/>
        <item m="1" x="307"/>
        <item m="1" x="308"/>
        <item m="1" x="310"/>
        <item m="1" x="682"/>
        <item m="1" x="685"/>
        <item m="1" x="687"/>
        <item m="1" x="692"/>
        <item m="1" x="695"/>
        <item m="1" x="275"/>
        <item m="1" x="279"/>
        <item m="1" x="282"/>
        <item m="1" x="285"/>
        <item m="1" x="286"/>
        <item m="1" x="288"/>
        <item m="1" x="289"/>
        <item m="1" x="293"/>
        <item m="1" x="297"/>
        <item m="1" x="300"/>
        <item m="1" x="660"/>
        <item m="1" x="662"/>
        <item m="1" x="666"/>
        <item m="1" x="668"/>
        <item m="1" x="259"/>
        <item m="1" x="656"/>
        <item m="1" x="608"/>
        <item m="1" x="613"/>
        <item m="1" x="618"/>
        <item m="1" x="621"/>
        <item m="1" x="624"/>
        <item m="1" x="627"/>
        <item m="1" x="634"/>
        <item m="1" x="326"/>
        <item m="1" x="330"/>
        <item m="1" x="332"/>
        <item m="1" x="333"/>
        <item m="1" x="334"/>
        <item m="1" x="336"/>
        <item m="1" x="338"/>
        <item m="1" x="323"/>
        <item m="1" x="478"/>
        <item m="1" x="482"/>
        <item m="1" x="486"/>
        <item m="1" x="489"/>
        <item m="1" x="494"/>
        <item m="1" x="499"/>
        <item m="1" x="503"/>
        <item m="1" x="507"/>
        <item m="1" x="181"/>
        <item m="1" x="104"/>
        <item m="1" x="107"/>
        <item m="1" x="188"/>
        <item m="1" x="112"/>
        <item m="1" x="190"/>
        <item m="1" x="402"/>
        <item m="1" x="405"/>
        <item m="1" x="390"/>
        <item m="1" x="378"/>
        <item m="1" x="118"/>
        <item m="1" x="193"/>
        <item m="1" x="398"/>
        <item m="1" x="408"/>
        <item m="1" x="123"/>
        <item m="1" x="194"/>
        <item m="1" x="393"/>
        <item m="1" x="125"/>
        <item m="1" x="196"/>
        <item m="1" x="412"/>
        <item m="1" x="394"/>
        <item m="1" x="127"/>
        <item m="1" x="198"/>
        <item m="1" x="397"/>
        <item m="1" x="129"/>
        <item m="1" x="199"/>
        <item m="1" x="400"/>
        <item m="1" x="449"/>
        <item m="1" x="26"/>
        <item m="1" x="451"/>
        <item m="1" x="27"/>
        <item m="1" x="454"/>
        <item m="1" x="457"/>
        <item m="1" x="463"/>
        <item m="1" x="467"/>
        <item m="1" x="472"/>
        <item m="1" x="475"/>
        <item m="1" x="77"/>
        <item m="1" x="80"/>
        <item m="1" x="84"/>
        <item m="1" x="177"/>
        <item m="1" x="387"/>
        <item m="1" x="90"/>
        <item m="1" x="179"/>
        <item m="1" x="388"/>
        <item m="1" x="392"/>
        <item m="1" x="94"/>
        <item m="1" x="97"/>
        <item m="1" x="395"/>
        <item m="1" x="386"/>
        <item m="1" x="100"/>
        <item m="1" x="103"/>
        <item m="1" x="420"/>
        <item m="1" x="422"/>
        <item m="1" x="20"/>
        <item m="1" x="14"/>
        <item m="1" x="425"/>
        <item m="1" x="21"/>
        <item m="1" x="15"/>
        <item m="1" x="13"/>
        <item m="1" x="12"/>
        <item m="1" x="10"/>
        <item m="1" x="7"/>
        <item m="1" x="427"/>
        <item m="1" x="22"/>
        <item m="1" x="16"/>
        <item m="1" x="430"/>
        <item m="1" x="435"/>
        <item m="1" x="440"/>
        <item m="1" x="444"/>
        <item m="1" x="24"/>
        <item m="1" x="18"/>
        <item m="1" x="446"/>
        <item m="1" x="25"/>
        <item m="1" x="19"/>
        <item m="1" x="448"/>
        <item m="1" x="44"/>
        <item m="1" x="383"/>
        <item m="1" x="48"/>
        <item m="1" x="384"/>
        <item m="1" x="51"/>
        <item m="1" x="385"/>
        <item m="1" x="54"/>
        <item m="1" x="59"/>
        <item m="1" x="63"/>
        <item m="1" x="379"/>
        <item m="1" x="67"/>
        <item m="1" x="380"/>
        <item m="1" x="370"/>
        <item m="1" x="70"/>
        <item m="1" x="382"/>
        <item m="1" x="72"/>
        <item m="1" x="75"/>
        <item m="1" x="407"/>
        <item m="1" x="166"/>
        <item m="1" x="157"/>
        <item m="1" x="148"/>
        <item m="1" x="133"/>
        <item m="1" x="182"/>
        <item m="1" x="184"/>
        <item m="1" x="186"/>
        <item m="1" x="189"/>
        <item m="1" x="191"/>
        <item m="1" x="576"/>
        <item m="1" x="716"/>
        <item m="1" x="3"/>
        <item m="1" x="136"/>
        <item m="1" x="167"/>
        <item m="1" x="202"/>
        <item m="1" x="272"/>
        <item m="1" x="340"/>
        <item m="1" x="354"/>
        <item m="1" x="375"/>
        <item m="1" x="415"/>
        <item m="1" x="515"/>
        <item m="1" x="674"/>
        <item m="1" x="149"/>
        <item m="1" x="294"/>
        <item m="1" x="292"/>
        <item m="1" x="321"/>
        <item m="1" x="343"/>
        <item m="1" x="348"/>
        <item m="1" x="359"/>
        <item m="1" x="381"/>
        <item m="1" x="419"/>
        <item m="1" x="469"/>
        <item m="1" x="521"/>
        <item m="1" x="549"/>
        <item m="1" x="557"/>
        <item m="1" x="574"/>
        <item m="1" x="586"/>
        <item m="1" x="497"/>
        <item m="1" x="501"/>
        <item m="1" x="508"/>
        <item m="1" x="510"/>
        <item m="1" x="512"/>
        <item m="1" x="513"/>
        <item m="1" x="517"/>
        <item m="1" x="520"/>
        <item m="1" x="116"/>
        <item m="1" x="121"/>
        <item m="1" x="124"/>
        <item m="1" x="126"/>
        <item m="1" x="353"/>
        <item m="1" x="130"/>
        <item m="1" x="132"/>
        <item m="1" x="134"/>
        <item m="1" x="138"/>
        <item m="1" x="141"/>
        <item m="1" x="461"/>
        <item m="1" x="465"/>
        <item m="1" x="470"/>
        <item m="1" x="474"/>
        <item m="1" x="476"/>
        <item m="1" x="480"/>
        <item m="1" x="484"/>
        <item m="1" x="487"/>
        <item m="1" x="491"/>
        <item m="1" x="496"/>
        <item m="1" x="98"/>
        <item m="1" x="101"/>
        <item m="1" x="105"/>
        <item m="1" x="109"/>
        <item m="1" x="114"/>
        <item m="1" x="120"/>
        <item m="1" x="433"/>
        <item m="1" x="558"/>
        <item m="1" x="438"/>
        <item m="1" x="442"/>
        <item m="1" x="619"/>
        <item m="1" x="452"/>
        <item m="1" x="625"/>
        <item m="1" x="459"/>
        <item m="1" x="65"/>
        <item m="1" x="68"/>
        <item m="1" x="225"/>
        <item m="1" x="81"/>
        <item m="1" x="87"/>
        <item m="1" x="92"/>
        <item m="1" x="416"/>
        <item m="1" x="417"/>
        <item m="1" x="591"/>
        <item m="1" x="424"/>
        <item m="1" x="429"/>
        <item m="1" x="37"/>
        <item m="1" x="39"/>
        <item m="1" x="168"/>
        <item m="1" x="41"/>
        <item m="1" x="43"/>
        <item m="1" x="47"/>
        <item m="1" x="50"/>
        <item m="1" x="53"/>
        <item m="1" x="57"/>
        <item m="1" x="401"/>
        <item m="1" x="403"/>
        <item m="1" x="404"/>
        <item m="1" x="406"/>
        <item m="1" x="410"/>
        <item m="1" x="411"/>
        <item m="1" x="556"/>
        <item m="1" x="413"/>
        <item m="1" x="28"/>
        <item m="1" x="29"/>
        <item m="1" x="30"/>
        <item m="1" x="31"/>
        <item m="1" x="32"/>
        <item m="1" x="33"/>
        <item m="1" x="34"/>
        <item m="1" x="36"/>
        <item m="1" x="560"/>
        <item m="1" x="680"/>
        <item m="1" x="524"/>
        <item m="1" x="526"/>
        <item m="1" x="533"/>
        <item m="1" x="140"/>
        <item m="1" x="144"/>
        <item m="1" x="290"/>
        <item m="1" x="152"/>
        <item m="1" x="155"/>
        <item m="1" x="490"/>
        <item m="1" x="495"/>
        <item m="1" x="500"/>
        <item m="1" x="504"/>
        <item m="1" x="509"/>
        <item m="1" x="511"/>
        <item m="1" x="137"/>
        <item m="1" x="468"/>
        <item m="1" x="473"/>
        <item m="1" x="479"/>
        <item m="1" x="483"/>
        <item m="1" x="86"/>
        <item m="1" x="95"/>
        <item m="1" x="183"/>
        <item m="1" x="119"/>
        <item m="1" x="432"/>
        <item m="1" x="437"/>
        <item m="1" x="441"/>
        <item m="1" x="458"/>
        <item m="1" x="464"/>
        <item m="1" x="61"/>
        <item m="1" x="73"/>
        <item m="1" x="85"/>
        <item m="1" x="91"/>
        <item m="1" x="414"/>
        <item m="1" x="418"/>
        <item m="1" x="421"/>
        <item m="1" x="423"/>
        <item m="1" x="426"/>
        <item m="1" x="428"/>
        <item m="1" x="431"/>
        <item m="1" x="436"/>
        <item m="1" x="35"/>
        <item m="1" x="38"/>
        <item m="1" x="40"/>
        <item m="1" x="42"/>
        <item m="1" x="45"/>
        <item m="1" x="49"/>
        <item m="1" x="52"/>
        <item m="1" x="55"/>
        <item m="1" x="60"/>
        <item m="1" x="64"/>
        <item m="1" x="529"/>
        <item m="1" x="536"/>
        <item m="1" x="539"/>
        <item m="1" x="541"/>
        <item m="1" x="542"/>
        <item m="1" x="543"/>
        <item m="1" x="544"/>
        <item m="1" x="546"/>
        <item m="1" x="548"/>
        <item m="1" x="151"/>
        <item m="1" x="154"/>
        <item m="1" x="217"/>
        <item m="1" x="156"/>
        <item m="1" x="158"/>
        <item m="1" x="159"/>
        <item m="1" x="516"/>
        <item m="1" x="519"/>
        <item m="1" x="522"/>
        <item m="1" x="523"/>
        <item m="1" x="525"/>
        <item m="1" x="528"/>
        <item m="1" x="532"/>
        <item m="1" x="142"/>
        <item m="1" x="143"/>
        <item m="1" x="145"/>
        <item m="1" x="146"/>
        <item m="1" x="147"/>
        <item m="1" x="150"/>
        <item m="1" x="153"/>
        <item m="1" x="493"/>
        <item m="1" x="498"/>
        <item m="1" x="502"/>
        <item m="1" x="506"/>
        <item m="1" x="514"/>
        <item m="1" x="518"/>
        <item m="1" x="111"/>
        <item m="1" x="117"/>
        <item m="1" x="122"/>
        <item m="1" x="131"/>
        <item m="1" x="135"/>
        <item m="1" x="139"/>
        <item m="1" x="456"/>
        <item m="1" x="462"/>
        <item m="1" x="466"/>
        <item m="1" x="471"/>
        <item m="1" x="477"/>
        <item m="1" x="481"/>
        <item m="1" x="485"/>
        <item m="1" x="488"/>
        <item m="1" x="492"/>
        <item m="1" x="83"/>
        <item m="1" x="89"/>
        <item m="1" x="93"/>
        <item m="1" x="96"/>
        <item m="1" x="99"/>
        <item m="1" x="102"/>
        <item m="1" x="106"/>
        <item m="1" x="108"/>
        <item m="1" x="110"/>
        <item m="1" x="115"/>
        <item m="1" x="434"/>
        <item m="1" x="559"/>
        <item m="1" x="439"/>
        <item m="1" x="561"/>
        <item m="1" x="443"/>
        <item m="1" x="562"/>
        <item m="1" x="445"/>
        <item m="1" x="563"/>
        <item m="1" x="447"/>
        <item m="1" x="565"/>
        <item m="1" x="450"/>
        <item m="1" x="567"/>
        <item m="1" x="453"/>
        <item m="1" x="570"/>
        <item m="1" x="455"/>
        <item m="1" x="571"/>
        <item m="1" x="460"/>
        <item m="1" x="58"/>
        <item m="1" x="169"/>
        <item m="1" x="62"/>
        <item m="1" x="66"/>
        <item m="1" x="170"/>
        <item m="1" x="69"/>
        <item m="1" x="71"/>
        <item m="1" x="74"/>
        <item m="1" x="171"/>
        <item m="1" x="76"/>
        <item m="1" x="172"/>
        <item m="1" x="79"/>
        <item m="1" x="82"/>
        <item m="1" x="175"/>
        <item m="1" x="88"/>
        <item m="1" x="178"/>
        <item m="1" x="545"/>
        <item m="1" x="547"/>
        <item m="1" x="631"/>
        <item m="1" x="550"/>
        <item m="1" x="637"/>
        <item m="1" x="551"/>
        <item m="1" x="552"/>
        <item m="1" x="553"/>
        <item m="1" x="554"/>
        <item m="1" x="555"/>
        <item m="1" x="160"/>
        <item m="1" x="161"/>
        <item m="1" x="162"/>
        <item m="1" x="163"/>
        <item m="1" x="164"/>
        <item m="1" x="165"/>
        <item m="1" x="527"/>
        <item m="1" x="530"/>
        <item m="1" x="534"/>
        <item m="1" x="537"/>
        <item m="1" x="128"/>
        <item m="1" x="352"/>
        <item m="1" x="409"/>
        <item m="1" x="505"/>
        <item m="1" x="580"/>
        <item m="1" x="46"/>
        <item m="1" x="287"/>
        <item m="1" x="173"/>
        <item m="1" x="622"/>
        <item m="1" x="601"/>
        <item m="1" x="78"/>
        <item m="1" x="174"/>
        <item m="1" x="569"/>
        <item m="1" x="705"/>
        <item m="1" x="531"/>
        <item m="1" x="535"/>
        <item m="1" x="538"/>
        <item m="1" x="5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</pivotFields>
  <rowFields count="1">
    <field x="0"/>
  </rowFields>
  <rowItems count="2">
    <i>
      <x v="14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tock" fld="17" baseField="0" baseItem="0"/>
    <dataField name="Sum of Used" fld="18" baseField="0" baseItem="14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4" cacheId="7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1:T3" firstHeaderRow="1" firstDataRow="1" firstDataCol="1"/>
  <pivotFields count="16">
    <pivotField axis="axisRow" showAll="0">
      <items count="453">
        <item m="1" x="447"/>
        <item m="1" x="399"/>
        <item m="1" x="90"/>
        <item m="1" x="165"/>
        <item m="1" x="153"/>
        <item m="1" x="178"/>
        <item m="1" x="203"/>
        <item m="1" x="222"/>
        <item m="1" x="276"/>
        <item m="1" x="308"/>
        <item m="1" x="150"/>
        <item m="1" x="200"/>
        <item m="1" x="219"/>
        <item m="1" x="238"/>
        <item m="1" x="268"/>
        <item m="1" x="19"/>
        <item m="1" x="166"/>
        <item m="1" x="193"/>
        <item m="1" x="259"/>
        <item m="1" x="424"/>
        <item m="1" x="229"/>
        <item m="1" x="249"/>
        <item m="1" x="318"/>
        <item m="1" x="400"/>
        <item m="1" x="309"/>
        <item m="1" x="12"/>
        <item m="1" x="35"/>
        <item m="1" x="350"/>
        <item m="1" x="81"/>
        <item m="1" x="158"/>
        <item m="1" x="186"/>
        <item m="1" x="208"/>
        <item m="1" x="230"/>
        <item m="1" x="250"/>
        <item m="1" x="289"/>
        <item m="1" x="223"/>
        <item m="1" x="416"/>
        <item m="1" x="10"/>
        <item m="1" x="75"/>
        <item m="1" x="104"/>
        <item m="1" x="380"/>
        <item m="1" x="125"/>
        <item m="1" x="401"/>
        <item m="1" x="60"/>
        <item m="1" x="167"/>
        <item m="1" x="22"/>
        <item m="1" x="42"/>
        <item m="1" x="67"/>
        <item m="1" x="36"/>
        <item m="1" x="97"/>
        <item m="1" x="172"/>
        <item m="1" x="29"/>
        <item m="1" x="54"/>
        <item m="1" x="82"/>
        <item m="1" x="209"/>
        <item m="1" x="1"/>
        <item m="1" x="26"/>
        <item m="1" x="132"/>
        <item m="1" x="224"/>
        <item m="1" x="334"/>
        <item m="1" x="89"/>
        <item m="1" x="117"/>
        <item m="1" x="417"/>
        <item m="1" x="11"/>
        <item m="1" x="45"/>
        <item m="1" x="72"/>
        <item m="1" x="446"/>
        <item m="1" x="17"/>
        <item m="1" x="34"/>
        <item m="1" x="143"/>
        <item m="1" x="213"/>
        <item m="1" x="79"/>
        <item m="1" x="2"/>
        <item m="1" x="179"/>
        <item m="1" x="425"/>
        <item m="1" x="43"/>
        <item m="1" x="98"/>
        <item m="1" x="391"/>
        <item m="1" x="269"/>
        <item m="1" x="302"/>
        <item m="1" x="335"/>
        <item m="1" x="432"/>
        <item m="1" x="260"/>
        <item m="1" x="295"/>
        <item m="1" x="329"/>
        <item m="1" x="360"/>
        <item m="1" x="408"/>
        <item m="1" x="402"/>
        <item m="1" x="420"/>
        <item m="1" x="430"/>
        <item m="1" x="24"/>
        <item m="1" x="46"/>
        <item m="1" x="448"/>
        <item m="1" x="319"/>
        <item m="1" x="351"/>
        <item m="1" x="372"/>
        <item m="1" x="37"/>
        <item m="1" x="386"/>
        <item m="1" x="133"/>
        <item m="1" x="112"/>
        <item m="1" x="307"/>
        <item m="1" x="3"/>
        <item m="1" x="426"/>
        <item m="1" x="310"/>
        <item m="1" x="261"/>
        <item m="1" x="111"/>
        <item m="1" x="137"/>
        <item m="1" x="202"/>
        <item m="1" x="55"/>
        <item m="1" x="83"/>
        <item m="1" x="138"/>
        <item m="1" x="48"/>
        <item m="1" x="225"/>
        <item m="1" x="257"/>
        <item m="1" x="294"/>
        <item m="1" x="204"/>
        <item m="1" x="74"/>
        <item m="1" x="398"/>
        <item m="1" x="168"/>
        <item m="1" x="409"/>
        <item m="1" x="320"/>
        <item m="1" x="277"/>
        <item m="1" x="325"/>
        <item m="1" x="427"/>
        <item m="1" x="291"/>
        <item m="1" x="326"/>
        <item m="1" x="441"/>
        <item m="1" x="341"/>
        <item m="1" x="392"/>
        <item m="1" x="436"/>
        <item m="1" x="13"/>
        <item m="1" x="4"/>
        <item m="1" x="303"/>
        <item m="1" x="336"/>
        <item m="1" x="119"/>
        <item m="1" x="413"/>
        <item m="1" x="159"/>
        <item m="1" x="134"/>
        <item m="1" x="361"/>
        <item m="1" x="431"/>
        <item m="1" x="25"/>
        <item m="1" x="220"/>
        <item m="1" x="304"/>
        <item m="1" x="215"/>
        <item m="1" x="263"/>
        <item m="1" x="296"/>
        <item m="1" x="330"/>
        <item m="1" x="410"/>
        <item m="1" x="14"/>
        <item m="1" x="442"/>
        <item m="1" x="342"/>
        <item m="1" x="370"/>
        <item m="1" x="15"/>
        <item m="1" x="99"/>
        <item m="1" x="126"/>
        <item m="1" x="239"/>
        <item m="1" x="270"/>
        <item m="1" x="404"/>
        <item m="1" x="421"/>
        <item m="1" x="195"/>
        <item m="1" x="91"/>
        <item m="1" x="393"/>
        <item m="1" x="437"/>
        <item m="1" x="18"/>
        <item m="1" x="30"/>
        <item m="1" x="56"/>
        <item m="1" x="113"/>
        <item m="1" x="5"/>
        <item m="1" x="27"/>
        <item m="1" x="428"/>
        <item m="1" x="44"/>
        <item m="1" x="68"/>
        <item m="1" x="127"/>
        <item m="1" x="151"/>
        <item m="1" x="57"/>
        <item m="1" x="84"/>
        <item m="1" x="114"/>
        <item m="1" x="139"/>
        <item m="1" x="160"/>
        <item m="1" x="187"/>
        <item m="1" x="105"/>
        <item m="1" x="237"/>
        <item m="1" x="266"/>
        <item m="1" x="340"/>
        <item m="1" x="301"/>
        <item m="1" x="333"/>
        <item m="1" x="390"/>
        <item m="1" x="365"/>
        <item m="1" x="385"/>
        <item m="1" x="100"/>
        <item m="1" x="128"/>
        <item m="1" x="201"/>
        <item m="1" x="240"/>
        <item m="1" x="286"/>
        <item m="1" x="317"/>
        <item m="1" x="379"/>
        <item m="1" x="264"/>
        <item m="1" x="140"/>
        <item m="1" x="161"/>
        <item m="1" x="210"/>
        <item m="1" x="231"/>
        <item m="1" x="205"/>
        <item m="1" x="243"/>
        <item m="1" x="278"/>
        <item m="1" x="311"/>
        <item m="1" x="343"/>
        <item m="1" x="196"/>
        <item m="1" x="214"/>
        <item m="1" x="226"/>
        <item m="1" x="244"/>
        <item m="1" x="69"/>
        <item m="1" x="92"/>
        <item m="1" x="144"/>
        <item m="1" x="169"/>
        <item m="1" x="197"/>
        <item m="1" x="216"/>
        <item m="1" x="297"/>
        <item m="1" x="162"/>
        <item m="1" x="232"/>
        <item m="1" x="251"/>
        <item m="1" x="292"/>
        <item m="1" x="321"/>
        <item m="1" x="106"/>
        <item m="1" x="180"/>
        <item m="1" x="227"/>
        <item m="1" x="129"/>
        <item m="1" x="173"/>
        <item m="1" x="367"/>
        <item m="1" x="107"/>
        <item m="1" x="154"/>
        <item m="1" x="279"/>
        <item m="1" x="85"/>
        <item m="1" x="163"/>
        <item m="1" x="322"/>
        <item m="1" x="245"/>
        <item m="1" x="188"/>
        <item m="1" x="211"/>
        <item m="1" x="233"/>
        <item m="1" x="252"/>
        <item m="1" x="293"/>
        <item m="1" x="323"/>
        <item m="1" x="353"/>
        <item m="1" x="373"/>
        <item m="1" x="419"/>
        <item m="1" x="438"/>
        <item m="1" x="16"/>
        <item m="1" x="58"/>
        <item m="1" x="86"/>
        <item m="1" x="115"/>
        <item m="1" x="141"/>
        <item m="1" x="164"/>
        <item m="1" x="433"/>
        <item m="1" x="6"/>
        <item m="1" x="49"/>
        <item m="1" x="76"/>
        <item m="1" x="181"/>
        <item m="1" x="70"/>
        <item m="1" x="108"/>
        <item m="1" x="182"/>
        <item m="1" x="206"/>
        <item m="1" x="228"/>
        <item m="1" x="246"/>
        <item m="1" x="280"/>
        <item m="1" x="344"/>
        <item m="1" x="354"/>
        <item m="1" x="405"/>
        <item m="1" x="443"/>
        <item m="1" x="61"/>
        <item m="1" x="93"/>
        <item m="1" x="345"/>
        <item m="1" x="394"/>
        <item m="1" x="265"/>
        <item m="1" x="298"/>
        <item m="1" x="331"/>
        <item m="1" x="362"/>
        <item m="1" x="381"/>
        <item m="1" x="253"/>
        <item m="1" x="324"/>
        <item m="1" x="355"/>
        <item m="1" x="374"/>
        <item m="1" x="406"/>
        <item m="1" x="422"/>
        <item m="1" x="444"/>
        <item m="1" x="312"/>
        <item m="1" x="7"/>
        <item m="1" x="445"/>
        <item m="1" x="38"/>
        <item m="1" x="62"/>
        <item m="1" x="94"/>
        <item m="1" x="39"/>
        <item m="1" x="63"/>
        <item m="1" x="120"/>
        <item m="1" x="145"/>
        <item m="1" x="170"/>
        <item m="1" x="198"/>
        <item m="1" x="87"/>
        <item m="1" x="50"/>
        <item m="1" x="77"/>
        <item m="1" x="109"/>
        <item m="1" x="423"/>
        <item m="1" x="241"/>
        <item m="1" x="64"/>
        <item m="1" x="254"/>
        <item m="1" x="382"/>
        <item m="1" x="450"/>
        <item m="1" x="155"/>
        <item m="1" x="281"/>
        <item m="1" x="313"/>
        <item m="1" x="346"/>
        <item m="1" x="174"/>
        <item m="1" x="347"/>
        <item m="1" x="95"/>
        <item m="1" x="148"/>
        <item m="1" x="434"/>
        <item m="1" x="118"/>
        <item m="1" x="258"/>
        <item m="1" x="357"/>
        <item m="1" x="248"/>
        <item m="1" x="287"/>
        <item m="1" x="395"/>
        <item m="1" x="242"/>
        <item m="1" x="369"/>
        <item m="1" x="267"/>
        <item m="1" x="8"/>
        <item m="1" x="411"/>
        <item m="1" x="327"/>
        <item m="1" x="358"/>
        <item m="1" x="207"/>
        <item m="1" x="288"/>
        <item m="1" x="397"/>
        <item m="1" x="146"/>
        <item m="1" x="31"/>
        <item m="1" x="189"/>
        <item m="1" x="282"/>
        <item m="1" x="32"/>
        <item m="1" x="271"/>
        <item m="1" x="305"/>
        <item m="1" x="116"/>
        <item m="1" x="171"/>
        <item m="1" x="47"/>
        <item m="1" x="73"/>
        <item m="1" x="102"/>
        <item m="1" x="175"/>
        <item m="1" x="255"/>
        <item m="1" x="217"/>
        <item m="1" x="363"/>
        <item m="1" x="234"/>
        <item m="1" x="283"/>
        <item m="1" x="314"/>
        <item m="1" x="396"/>
        <item m="1" x="439"/>
        <item m="1" x="435"/>
        <item m="1" x="383"/>
        <item m="1" x="190"/>
        <item m="1" x="384"/>
        <item m="1" x="356"/>
        <item m="1" x="272"/>
        <item m="1" x="9"/>
        <item m="1" x="78"/>
        <item m="1" x="135"/>
        <item m="1" x="364"/>
        <item m="1" x="429"/>
        <item m="1" x="348"/>
        <item m="1" x="387"/>
        <item m="1" x="236"/>
        <item m="1" x="315"/>
        <item m="1" x="183"/>
        <item m="1" x="199"/>
        <item m="1" x="284"/>
        <item m="1" x="152"/>
        <item m="1" x="65"/>
        <item m="1" x="121"/>
        <item m="1" x="101"/>
        <item m="1" x="130"/>
        <item m="1" x="328"/>
        <item m="1" x="376"/>
        <item m="1" x="407"/>
        <item m="1" x="185"/>
        <item m="1" x="299"/>
        <item m="1" x="332"/>
        <item m="1" x="349"/>
        <item m="1" x="388"/>
        <item m="1" x="412"/>
        <item m="1" x="273"/>
        <item m="1" x="306"/>
        <item m="1" x="338"/>
        <item m="1" x="368"/>
        <item m="1" x="414"/>
        <item m="1" x="23"/>
        <item m="1" x="184"/>
        <item m="1" x="285"/>
        <item m="1" x="316"/>
        <item m="1" x="176"/>
        <item m="1" x="221"/>
        <item m="1" x="88"/>
        <item m="1" x="156"/>
        <item m="1" x="191"/>
        <item m="1" x="212"/>
        <item m="1" x="235"/>
        <item m="1" x="256"/>
        <item m="1" x="177"/>
        <item m="1" x="415"/>
        <item m="1" x="21"/>
        <item m="1" x="389"/>
        <item m="1" x="40"/>
        <item m="1" x="66"/>
        <item m="1" x="124"/>
        <item m="1" x="28"/>
        <item m="1" x="149"/>
        <item m="1" x="52"/>
        <item m="1" x="59"/>
        <item m="1" x="451"/>
        <item m="1" x="122"/>
        <item m="1" x="194"/>
        <item m="1" x="157"/>
        <item m="1" x="366"/>
        <item m="1" x="218"/>
        <item m="1" x="371"/>
        <item m="1" x="103"/>
        <item m="1" x="131"/>
        <item m="1" x="33"/>
        <item m="1" x="20"/>
        <item m="1" x="377"/>
        <item m="1" x="300"/>
        <item m="1" x="247"/>
        <item m="1" x="440"/>
        <item m="1" x="71"/>
        <item m="1" x="375"/>
        <item m="1" x="142"/>
        <item m="1" x="192"/>
        <item m="1" x="274"/>
        <item m="1" x="339"/>
        <item m="1" x="123"/>
        <item m="1" x="147"/>
        <item m="1" x="359"/>
        <item m="1" x="378"/>
        <item m="1" x="110"/>
        <item m="1" x="136"/>
        <item x="0"/>
        <item m="1" x="80"/>
        <item m="1" x="41"/>
        <item m="1" x="96"/>
        <item m="1" x="53"/>
        <item m="1" x="290"/>
        <item m="1" x="352"/>
        <item m="1" x="403"/>
        <item m="1" x="418"/>
        <item m="1" x="262"/>
        <item m="1" x="449"/>
        <item m="1" x="275"/>
        <item m="1" x="337"/>
        <item m="1" x="5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438"/>
    </i>
    <i t="grand">
      <x/>
    </i>
  </rowItems>
  <colItems count="1">
    <i/>
  </colItems>
  <dataFields count="1">
    <dataField name="Sum of Quantity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T6"/>
  <sheetViews>
    <sheetView zoomScale="55" zoomScaleNormal="55" workbookViewId="0"/>
  </sheetViews>
  <sheetFormatPr defaultRowHeight="13.5" x14ac:dyDescent="0.3"/>
  <cols>
    <col min="5" max="5" width="5.33203125" customWidth="1"/>
    <col min="7" max="7" width="11.265625" customWidth="1"/>
    <col min="13" max="13" width="11.1328125" bestFit="1" customWidth="1"/>
    <col min="14" max="14" width="12.19921875" bestFit="1" customWidth="1"/>
    <col min="15" max="15" width="15.46484375" bestFit="1" customWidth="1"/>
    <col min="18" max="18" width="29.73046875" customWidth="1"/>
    <col min="19" max="19" width="20.3984375" bestFit="1" customWidth="1"/>
    <col min="20" max="20" width="14" customWidth="1"/>
    <col min="21" max="23" width="10.3984375" bestFit="1" customWidth="1"/>
    <col min="24" max="24" width="11.59765625" bestFit="1" customWidth="1"/>
    <col min="25" max="25" width="12.796875" bestFit="1" customWidth="1"/>
    <col min="26" max="26" width="10.3984375" bestFit="1" customWidth="1"/>
    <col min="27" max="32" width="12.796875" bestFit="1" customWidth="1"/>
    <col min="33" max="33" width="11.59765625" bestFit="1" customWidth="1"/>
    <col min="34" max="34" width="9.265625" customWidth="1"/>
    <col min="35" max="35" width="14" bestFit="1" customWidth="1"/>
    <col min="75" max="75" width="9.59765625" bestFit="1" customWidth="1"/>
    <col min="77" max="77" width="9.59765625" bestFit="1" customWidth="1"/>
    <col min="79" max="79" width="9.59765625" bestFit="1" customWidth="1"/>
  </cols>
  <sheetData>
    <row r="1" spans="2:20" ht="40.5" x14ac:dyDescent="0.3">
      <c r="B1" s="6" t="s">
        <v>3</v>
      </c>
      <c r="C1" s="6" t="s">
        <v>26</v>
      </c>
      <c r="D1" s="6" t="s">
        <v>27</v>
      </c>
      <c r="E1" s="6" t="s">
        <v>28</v>
      </c>
      <c r="F1" s="6" t="s">
        <v>29</v>
      </c>
      <c r="G1" s="6" t="s">
        <v>30</v>
      </c>
      <c r="H1" s="7" t="s">
        <v>31</v>
      </c>
      <c r="I1" s="7" t="s">
        <v>32</v>
      </c>
      <c r="J1" s="6" t="s">
        <v>33</v>
      </c>
      <c r="K1" s="6" t="s">
        <v>34</v>
      </c>
      <c r="L1" s="7" t="s">
        <v>35</v>
      </c>
      <c r="M1" s="6" t="s">
        <v>36</v>
      </c>
      <c r="N1" s="6" t="s">
        <v>37</v>
      </c>
      <c r="O1" s="6" t="s">
        <v>38</v>
      </c>
      <c r="P1" s="6" t="s">
        <v>39</v>
      </c>
      <c r="R1" s="13" t="s">
        <v>41</v>
      </c>
      <c r="S1" s="13" t="s">
        <v>40</v>
      </c>
    </row>
    <row r="2" spans="2:20" ht="18.75" customHeight="1" x14ac:dyDescent="0.3">
      <c r="B2" s="9"/>
      <c r="C2" s="9"/>
      <c r="D2" s="9"/>
      <c r="E2" s="9"/>
      <c r="F2" s="9"/>
      <c r="G2" s="11"/>
      <c r="H2" s="10"/>
      <c r="I2" s="9"/>
      <c r="J2" s="12"/>
      <c r="K2" s="12"/>
      <c r="L2" s="9"/>
      <c r="M2" s="11"/>
      <c r="N2" s="16"/>
      <c r="O2" s="9"/>
      <c r="P2" s="9"/>
      <c r="R2" s="13" t="s">
        <v>21</v>
      </c>
      <c r="S2" t="s">
        <v>22</v>
      </c>
      <c r="T2" t="s">
        <v>23</v>
      </c>
    </row>
    <row r="3" spans="2:20" x14ac:dyDescent="0.3">
      <c r="B3" s="9"/>
      <c r="C3" s="9"/>
      <c r="D3" s="9"/>
      <c r="E3" s="9"/>
      <c r="F3" s="9"/>
      <c r="G3" s="11"/>
      <c r="H3" s="10"/>
      <c r="I3" s="9"/>
      <c r="J3" s="12"/>
      <c r="K3" s="12"/>
      <c r="L3" s="9"/>
      <c r="M3" s="11"/>
      <c r="N3" s="16"/>
      <c r="O3" s="9"/>
      <c r="P3" s="9"/>
      <c r="R3" s="14" t="s">
        <v>22</v>
      </c>
      <c r="S3" s="8"/>
      <c r="T3" s="8"/>
    </row>
    <row r="4" spans="2:20" x14ac:dyDescent="0.3">
      <c r="B4" s="9"/>
      <c r="C4" s="9"/>
      <c r="D4" s="9"/>
      <c r="E4" s="9"/>
      <c r="F4" s="9"/>
      <c r="G4" s="11"/>
      <c r="H4" s="10"/>
      <c r="I4" s="9"/>
      <c r="J4" s="12"/>
      <c r="K4" s="12"/>
      <c r="L4" s="9"/>
      <c r="M4" s="11"/>
      <c r="N4" s="16"/>
      <c r="O4" s="9"/>
      <c r="P4" s="9"/>
      <c r="R4" s="14" t="s">
        <v>23</v>
      </c>
      <c r="S4" s="8"/>
      <c r="T4" s="8"/>
    </row>
    <row r="6" spans="2:20" ht="16.149999999999999" customHeight="1" x14ac:dyDescent="0.3"/>
  </sheetData>
  <autoFilter ref="B1:P28655"/>
  <phoneticPr fontId="2" type="noConversion"/>
  <pageMargins left="0.7" right="0.7" top="0.75" bottom="0.75" header="0.3" footer="0.3"/>
  <pageSetup paperSize="9" orientation="portrait" horizontalDpi="4294967295" verticalDpi="4294967295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ForecastUpdate">
                <anchor moveWithCells="1" sizeWithCells="1">
                  <from>
                    <xdr:col>0</xdr:col>
                    <xdr:colOff>23813</xdr:colOff>
                    <xdr:row>0</xdr:row>
                    <xdr:rowOff>42863</xdr:rowOff>
                  </from>
                  <to>
                    <xdr:col>0</xdr:col>
                    <xdr:colOff>614363</xdr:colOff>
                    <xdr:row>0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ForecastClean">
                <anchor moveWithCells="1" sizeWithCells="1">
                  <from>
                    <xdr:col>0</xdr:col>
                    <xdr:colOff>57150</xdr:colOff>
                    <xdr:row>1</xdr:row>
                    <xdr:rowOff>4763</xdr:rowOff>
                  </from>
                  <to>
                    <xdr:col>0</xdr:col>
                    <xdr:colOff>576263</xdr:colOff>
                    <xdr:row>1</xdr:row>
                    <xdr:rowOff>223838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T4"/>
  <sheetViews>
    <sheetView workbookViewId="0"/>
  </sheetViews>
  <sheetFormatPr defaultRowHeight="13.5" x14ac:dyDescent="0.3"/>
  <cols>
    <col min="44" max="44" width="17.53125" customWidth="1"/>
    <col min="45" max="45" width="17.46484375" customWidth="1"/>
    <col min="46" max="46" width="13" customWidth="1"/>
    <col min="47" max="49" width="7.46484375" customWidth="1"/>
    <col min="50" max="50" width="9.59765625" customWidth="1"/>
    <col min="51" max="52" width="10.73046875" customWidth="1"/>
    <col min="53" max="53" width="9.59765625" customWidth="1"/>
    <col min="54" max="54" width="8.53125" customWidth="1"/>
    <col min="55" max="55" width="13" customWidth="1"/>
    <col min="56" max="56" width="13" bestFit="1" customWidth="1"/>
  </cols>
  <sheetData>
    <row r="1" spans="2:46" ht="24" customHeight="1" x14ac:dyDescent="0.3">
      <c r="B1" s="17" t="s">
        <v>42</v>
      </c>
      <c r="C1" s="17" t="s">
        <v>43</v>
      </c>
      <c r="D1" s="17" t="s">
        <v>3</v>
      </c>
      <c r="E1" s="17" t="s">
        <v>44</v>
      </c>
      <c r="F1" s="17" t="s">
        <v>45</v>
      </c>
      <c r="G1" s="17" t="s">
        <v>46</v>
      </c>
      <c r="H1" s="17" t="s">
        <v>47</v>
      </c>
      <c r="I1" s="17" t="s">
        <v>48</v>
      </c>
      <c r="J1" s="17" t="s">
        <v>49</v>
      </c>
      <c r="K1" s="17" t="s">
        <v>50</v>
      </c>
      <c r="L1" s="17" t="s">
        <v>51</v>
      </c>
      <c r="M1" s="17" t="s">
        <v>52</v>
      </c>
      <c r="N1" s="17" t="s">
        <v>53</v>
      </c>
      <c r="O1" s="17" t="s">
        <v>54</v>
      </c>
      <c r="P1" s="17" t="s">
        <v>55</v>
      </c>
      <c r="Q1" s="17" t="s">
        <v>56</v>
      </c>
      <c r="R1" s="17" t="s">
        <v>57</v>
      </c>
      <c r="S1" s="17" t="s">
        <v>58</v>
      </c>
      <c r="T1" s="17" t="s">
        <v>59</v>
      </c>
      <c r="U1" s="17" t="s">
        <v>60</v>
      </c>
      <c r="V1" s="17" t="s">
        <v>61</v>
      </c>
      <c r="W1" s="17" t="s">
        <v>62</v>
      </c>
      <c r="X1" s="17" t="s">
        <v>63</v>
      </c>
      <c r="Y1" s="17" t="s">
        <v>64</v>
      </c>
      <c r="Z1" s="17" t="s">
        <v>65</v>
      </c>
      <c r="AA1" s="17" t="s">
        <v>66</v>
      </c>
      <c r="AB1" s="17" t="s">
        <v>67</v>
      </c>
      <c r="AC1" s="17" t="s">
        <v>68</v>
      </c>
      <c r="AD1" s="17" t="s">
        <v>69</v>
      </c>
      <c r="AE1" s="17" t="s">
        <v>70</v>
      </c>
      <c r="AF1" s="17" t="s">
        <v>71</v>
      </c>
      <c r="AG1" s="17" t="s">
        <v>72</v>
      </c>
      <c r="AH1" s="17" t="s">
        <v>73</v>
      </c>
      <c r="AI1" s="17" t="s">
        <v>74</v>
      </c>
      <c r="AJ1" s="17" t="s">
        <v>75</v>
      </c>
      <c r="AK1" s="17" t="s">
        <v>76</v>
      </c>
      <c r="AL1" s="17" t="s">
        <v>77</v>
      </c>
      <c r="AM1" s="17" t="s">
        <v>78</v>
      </c>
      <c r="AN1" s="17" t="s">
        <v>79</v>
      </c>
      <c r="AO1" s="17" t="s">
        <v>80</v>
      </c>
      <c r="AP1" s="17" t="s">
        <v>81</v>
      </c>
      <c r="AR1" s="13" t="s">
        <v>82</v>
      </c>
      <c r="AS1" s="13" t="s">
        <v>40</v>
      </c>
    </row>
    <row r="2" spans="2:46" x14ac:dyDescent="0.3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R2" s="13" t="s">
        <v>21</v>
      </c>
      <c r="AS2" t="s">
        <v>22</v>
      </c>
      <c r="AT2" t="s">
        <v>23</v>
      </c>
    </row>
    <row r="3" spans="2:46" x14ac:dyDescent="0.3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R3" s="14" t="s">
        <v>22</v>
      </c>
      <c r="AS3" s="8"/>
      <c r="AT3" s="8"/>
    </row>
    <row r="4" spans="2:46" x14ac:dyDescent="0.3"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R4" s="14" t="s">
        <v>23</v>
      </c>
      <c r="AS4" s="8"/>
      <c r="AT4" s="8"/>
    </row>
  </sheetData>
  <autoFilter ref="B1:AP109209"/>
  <phoneticPr fontId="2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lesUpdate">
                <anchor moveWithCells="1" sizeWithCells="1">
                  <from>
                    <xdr:col>0</xdr:col>
                    <xdr:colOff>61913</xdr:colOff>
                    <xdr:row>0</xdr:row>
                    <xdr:rowOff>33338</xdr:rowOff>
                  </from>
                  <to>
                    <xdr:col>0</xdr:col>
                    <xdr:colOff>642938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alesClean">
                <anchor moveWithCells="1" sizeWithCells="1">
                  <from>
                    <xdr:col>0</xdr:col>
                    <xdr:colOff>52388</xdr:colOff>
                    <xdr:row>1</xdr:row>
                    <xdr:rowOff>47625</xdr:rowOff>
                  </from>
                  <to>
                    <xdr:col>0</xdr:col>
                    <xdr:colOff>619125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2"/>
  <sheetViews>
    <sheetView tabSelected="1" workbookViewId="0">
      <selection activeCell="B2" sqref="B2:AQ900000"/>
    </sheetView>
  </sheetViews>
  <sheetFormatPr defaultRowHeight="13.5" x14ac:dyDescent="0.3"/>
  <cols>
    <col min="2" max="3" width="11.86328125" bestFit="1" customWidth="1"/>
    <col min="4" max="8" width="9.59765625" bestFit="1" customWidth="1"/>
    <col min="9" max="9" width="10.3984375" bestFit="1" customWidth="1"/>
    <col min="10" max="10" width="9.06640625" bestFit="1" customWidth="1"/>
    <col min="11" max="13" width="9.59765625" bestFit="1" customWidth="1"/>
    <col min="14" max="16" width="10.06640625" bestFit="1" customWidth="1"/>
    <col min="26" max="28" width="10.06640625" bestFit="1" customWidth="1"/>
  </cols>
  <sheetData>
    <row r="1" spans="1:28" ht="21" x14ac:dyDescent="0.3">
      <c r="A1" s="5" t="s">
        <v>478</v>
      </c>
      <c r="B1" s="28" t="s">
        <v>476</v>
      </c>
      <c r="C1" s="27" t="s">
        <v>477</v>
      </c>
      <c r="D1" s="26" t="s">
        <v>221</v>
      </c>
      <c r="E1" s="26">
        <v>42736</v>
      </c>
      <c r="F1" s="26">
        <v>42767</v>
      </c>
      <c r="G1" s="26">
        <v>42795</v>
      </c>
      <c r="H1" s="26">
        <v>42826</v>
      </c>
      <c r="I1" s="26">
        <v>42856</v>
      </c>
      <c r="J1" s="26">
        <v>42887</v>
      </c>
      <c r="K1" s="26">
        <v>42917</v>
      </c>
      <c r="L1" s="26">
        <v>42948</v>
      </c>
      <c r="M1" s="26">
        <v>42979</v>
      </c>
      <c r="N1" s="26">
        <v>43009</v>
      </c>
      <c r="O1" s="26">
        <v>43040</v>
      </c>
      <c r="P1" s="26">
        <v>43070</v>
      </c>
      <c r="Q1" s="26">
        <v>43101</v>
      </c>
      <c r="R1" s="26">
        <v>43132</v>
      </c>
      <c r="S1" s="26">
        <v>43160</v>
      </c>
      <c r="T1" s="26">
        <v>43191</v>
      </c>
      <c r="U1" s="26">
        <v>43221</v>
      </c>
      <c r="V1" s="26">
        <v>43252</v>
      </c>
      <c r="W1" s="26">
        <v>43282</v>
      </c>
      <c r="X1" s="26">
        <v>43313</v>
      </c>
      <c r="Y1" s="26">
        <v>43344</v>
      </c>
      <c r="Z1" s="26">
        <v>43374</v>
      </c>
      <c r="AA1" s="26">
        <v>43405</v>
      </c>
      <c r="AB1" s="26">
        <v>43435</v>
      </c>
    </row>
    <row r="2" spans="1:28" ht="22.5" customHeight="1" x14ac:dyDescent="0.3">
      <c r="A2" s="5">
        <v>10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</row>
  </sheetData>
  <phoneticPr fontId="2" type="noConversion"/>
  <conditionalFormatting sqref="B1:AB1">
    <cfRule type="cellIs" dxfId="1" priority="3" operator="equal">
      <formula>$B15</formula>
    </cfRule>
    <cfRule type="cellIs" dxfId="0" priority="4" operator="equal">
      <formula>#REF!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OpenPoCleanCC">
                <anchor moveWithCells="1" sizeWithCells="1">
                  <from>
                    <xdr:col>0</xdr:col>
                    <xdr:colOff>23813</xdr:colOff>
                    <xdr:row>7</xdr:row>
                    <xdr:rowOff>23813</xdr:rowOff>
                  </from>
                  <to>
                    <xdr:col>0</xdr:col>
                    <xdr:colOff>638175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OpenPOCC">
                <anchor moveWithCells="1" sizeWithCells="1">
                  <from>
                    <xdr:col>0</xdr:col>
                    <xdr:colOff>0</xdr:colOff>
                    <xdr:row>5</xdr:row>
                    <xdr:rowOff>157163</xdr:rowOff>
                  </from>
                  <to>
                    <xdr:col>0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BE143"/>
  <sheetViews>
    <sheetView zoomScale="85" zoomScaleNormal="85" workbookViewId="0">
      <selection activeCell="AT17" sqref="AT17"/>
    </sheetView>
  </sheetViews>
  <sheetFormatPr defaultRowHeight="13.5" x14ac:dyDescent="0.3"/>
  <cols>
    <col min="6" max="6" width="11.1328125" bestFit="1" customWidth="1"/>
    <col min="45" max="45" width="20.86328125" customWidth="1"/>
    <col min="46" max="46" width="12.59765625" bestFit="1" customWidth="1"/>
    <col min="47" max="52" width="10" bestFit="1" customWidth="1"/>
    <col min="53" max="53" width="8.9296875" bestFit="1" customWidth="1"/>
    <col min="54" max="61" width="10" bestFit="1" customWidth="1"/>
    <col min="62" max="63" width="9.59765625" bestFit="1" customWidth="1"/>
    <col min="64" max="64" width="13" bestFit="1" customWidth="1"/>
  </cols>
  <sheetData>
    <row r="1" spans="2:57" ht="21.75" customHeight="1" x14ac:dyDescent="0.3">
      <c r="B1" s="19" t="s">
        <v>91</v>
      </c>
      <c r="C1" s="19" t="s">
        <v>92</v>
      </c>
      <c r="D1" s="19" t="s">
        <v>93</v>
      </c>
      <c r="E1" s="19" t="s">
        <v>94</v>
      </c>
      <c r="F1" s="19" t="s">
        <v>95</v>
      </c>
      <c r="G1" s="19" t="s">
        <v>96</v>
      </c>
      <c r="H1" s="19" t="s">
        <v>97</v>
      </c>
      <c r="I1" s="19" t="s">
        <v>98</v>
      </c>
      <c r="J1" s="19" t="s">
        <v>99</v>
      </c>
      <c r="K1" s="19" t="s">
        <v>100</v>
      </c>
      <c r="L1" s="19" t="s">
        <v>101</v>
      </c>
      <c r="M1" s="19" t="s">
        <v>102</v>
      </c>
      <c r="N1" s="19" t="s">
        <v>63</v>
      </c>
      <c r="O1" s="19" t="s">
        <v>64</v>
      </c>
      <c r="P1" s="19" t="s">
        <v>66</v>
      </c>
      <c r="Q1" s="19" t="s">
        <v>65</v>
      </c>
      <c r="R1" s="19" t="s">
        <v>103</v>
      </c>
      <c r="S1" s="19" t="s">
        <v>104</v>
      </c>
      <c r="T1" s="19" t="s">
        <v>105</v>
      </c>
      <c r="U1" s="19" t="s">
        <v>106</v>
      </c>
      <c r="V1" s="19" t="s">
        <v>107</v>
      </c>
      <c r="W1" s="19" t="s">
        <v>68</v>
      </c>
      <c r="X1" s="19" t="s">
        <v>108</v>
      </c>
      <c r="Y1" s="19" t="s">
        <v>68</v>
      </c>
      <c r="Z1" s="19" t="s">
        <v>109</v>
      </c>
      <c r="AA1" s="19" t="s">
        <v>110</v>
      </c>
      <c r="AB1" s="19" t="s">
        <v>111</v>
      </c>
      <c r="AC1" s="19" t="s">
        <v>110</v>
      </c>
      <c r="AD1" s="19" t="s">
        <v>79</v>
      </c>
      <c r="AE1" s="19" t="s">
        <v>112</v>
      </c>
      <c r="AF1" s="19" t="s">
        <v>113</v>
      </c>
      <c r="AG1" s="19" t="s">
        <v>112</v>
      </c>
      <c r="AH1" s="19" t="s">
        <v>114</v>
      </c>
      <c r="AI1" s="19" t="s">
        <v>115</v>
      </c>
      <c r="AJ1" s="19" t="s">
        <v>116</v>
      </c>
      <c r="AK1" s="19" t="s">
        <v>117</v>
      </c>
      <c r="AL1" s="19" t="s">
        <v>118</v>
      </c>
      <c r="AM1" s="19" t="s">
        <v>70</v>
      </c>
      <c r="AN1" s="19" t="s">
        <v>119</v>
      </c>
      <c r="AO1" s="19" t="s">
        <v>120</v>
      </c>
      <c r="AP1" s="19" t="s">
        <v>121</v>
      </c>
      <c r="AQ1" s="19" t="s">
        <v>120</v>
      </c>
      <c r="AS1" s="13" t="s">
        <v>122</v>
      </c>
      <c r="AU1" s="13" t="s">
        <v>105</v>
      </c>
    </row>
    <row r="2" spans="2:57" ht="24.75" customHeight="1" x14ac:dyDescent="0.3">
      <c r="B2" s="24" t="s">
        <v>222</v>
      </c>
      <c r="C2" s="24" t="s">
        <v>223</v>
      </c>
      <c r="D2" s="24">
        <v>100031</v>
      </c>
      <c r="E2" s="24" t="s">
        <v>224</v>
      </c>
      <c r="F2" s="24">
        <v>4500018952</v>
      </c>
      <c r="G2" s="24">
        <v>350</v>
      </c>
      <c r="H2" s="24"/>
      <c r="I2" s="24" t="s">
        <v>225</v>
      </c>
      <c r="J2" s="24" t="s">
        <v>226</v>
      </c>
      <c r="K2" s="24" t="s">
        <v>227</v>
      </c>
      <c r="L2" s="24" t="s">
        <v>228</v>
      </c>
      <c r="M2" s="24" t="s">
        <v>229</v>
      </c>
      <c r="N2" s="24" t="s">
        <v>230</v>
      </c>
      <c r="O2" s="24" t="s">
        <v>124</v>
      </c>
      <c r="P2" s="24" t="s">
        <v>231</v>
      </c>
      <c r="Q2" s="24" t="s">
        <v>232</v>
      </c>
      <c r="R2" s="24">
        <v>20170626</v>
      </c>
      <c r="S2" s="24" t="s">
        <v>233</v>
      </c>
      <c r="T2" s="24">
        <v>20161207</v>
      </c>
      <c r="U2" s="24">
        <v>20170817</v>
      </c>
      <c r="V2" s="24">
        <v>20</v>
      </c>
      <c r="W2" s="24" t="s">
        <v>234</v>
      </c>
      <c r="X2" s="24">
        <v>20</v>
      </c>
      <c r="Y2" s="24" t="s">
        <v>234</v>
      </c>
      <c r="Z2" s="24">
        <v>18</v>
      </c>
      <c r="AA2" s="24" t="s">
        <v>234</v>
      </c>
      <c r="AB2" s="24">
        <v>18</v>
      </c>
      <c r="AC2" s="24" t="s">
        <v>234</v>
      </c>
      <c r="AD2" s="24">
        <v>60</v>
      </c>
      <c r="AE2" s="24" t="s">
        <v>235</v>
      </c>
      <c r="AF2" s="24">
        <v>63.2</v>
      </c>
      <c r="AG2" s="24" t="s">
        <v>235</v>
      </c>
      <c r="AH2" s="24">
        <v>59.2</v>
      </c>
      <c r="AI2" s="24" t="s">
        <v>236</v>
      </c>
      <c r="AJ2" s="24">
        <v>737.48</v>
      </c>
      <c r="AK2" s="24">
        <v>0</v>
      </c>
      <c r="AL2" s="24">
        <v>0</v>
      </c>
      <c r="AM2" s="24" t="s">
        <v>237</v>
      </c>
      <c r="AN2" s="24">
        <v>0</v>
      </c>
      <c r="AO2" s="24"/>
      <c r="AP2" s="24">
        <v>0</v>
      </c>
      <c r="AQ2" s="20"/>
      <c r="AS2" s="13" t="s">
        <v>95</v>
      </c>
      <c r="AT2" s="13" t="s">
        <v>64</v>
      </c>
      <c r="AU2">
        <v>20161207</v>
      </c>
      <c r="AV2">
        <v>20170827</v>
      </c>
      <c r="AW2">
        <v>20170915</v>
      </c>
      <c r="AX2">
        <v>20170918</v>
      </c>
      <c r="AY2">
        <v>20170924</v>
      </c>
      <c r="AZ2">
        <v>20171016</v>
      </c>
      <c r="BA2" t="s">
        <v>22</v>
      </c>
      <c r="BB2">
        <v>20171018</v>
      </c>
      <c r="BC2">
        <v>20170916</v>
      </c>
      <c r="BD2">
        <v>20171118</v>
      </c>
      <c r="BE2">
        <v>20171008</v>
      </c>
    </row>
    <row r="3" spans="2:57" x14ac:dyDescent="0.3">
      <c r="B3" s="24" t="s">
        <v>222</v>
      </c>
      <c r="C3" s="24" t="s">
        <v>223</v>
      </c>
      <c r="D3" s="24">
        <v>100031</v>
      </c>
      <c r="E3" s="24" t="s">
        <v>224</v>
      </c>
      <c r="F3" s="24">
        <v>4500018952</v>
      </c>
      <c r="G3" s="24">
        <v>560</v>
      </c>
      <c r="H3" s="24" t="s">
        <v>238</v>
      </c>
      <c r="I3" s="24" t="s">
        <v>225</v>
      </c>
      <c r="J3" s="24" t="s">
        <v>226</v>
      </c>
      <c r="K3" s="24" t="s">
        <v>227</v>
      </c>
      <c r="L3" s="24" t="s">
        <v>239</v>
      </c>
      <c r="M3" s="24" t="s">
        <v>240</v>
      </c>
      <c r="N3" s="24" t="s">
        <v>230</v>
      </c>
      <c r="O3" s="24" t="s">
        <v>125</v>
      </c>
      <c r="P3" s="24" t="s">
        <v>241</v>
      </c>
      <c r="Q3" s="24" t="s">
        <v>242</v>
      </c>
      <c r="R3" s="24">
        <v>20170626</v>
      </c>
      <c r="S3" s="24" t="s">
        <v>233</v>
      </c>
      <c r="T3" s="24">
        <v>20161207</v>
      </c>
      <c r="U3" s="24">
        <v>20170817</v>
      </c>
      <c r="V3" s="24">
        <v>21</v>
      </c>
      <c r="W3" s="24" t="s">
        <v>234</v>
      </c>
      <c r="X3" s="24">
        <v>21</v>
      </c>
      <c r="Y3" s="24" t="s">
        <v>234</v>
      </c>
      <c r="Z3" s="24">
        <v>20</v>
      </c>
      <c r="AA3" s="24" t="s">
        <v>234</v>
      </c>
      <c r="AB3" s="24">
        <v>20</v>
      </c>
      <c r="AC3" s="24" t="s">
        <v>234</v>
      </c>
      <c r="AD3" s="24">
        <v>63</v>
      </c>
      <c r="AE3" s="24" t="s">
        <v>235</v>
      </c>
      <c r="AF3" s="24">
        <v>73.5</v>
      </c>
      <c r="AG3" s="24" t="s">
        <v>235</v>
      </c>
      <c r="AH3" s="24">
        <v>109.62</v>
      </c>
      <c r="AI3" s="24" t="s">
        <v>236</v>
      </c>
      <c r="AJ3" s="24">
        <v>674.13</v>
      </c>
      <c r="AK3" s="24">
        <v>0</v>
      </c>
      <c r="AL3" s="24">
        <v>0</v>
      </c>
      <c r="AM3" s="24" t="s">
        <v>237</v>
      </c>
      <c r="AN3" s="24">
        <v>0</v>
      </c>
      <c r="AO3" s="24"/>
      <c r="AP3" s="24">
        <v>0</v>
      </c>
      <c r="AQ3" s="20"/>
      <c r="AS3">
        <v>4500018952</v>
      </c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</row>
    <row r="4" spans="2:57" x14ac:dyDescent="0.3">
      <c r="B4" s="24" t="s">
        <v>222</v>
      </c>
      <c r="C4" s="24" t="s">
        <v>223</v>
      </c>
      <c r="D4" s="24">
        <v>100031</v>
      </c>
      <c r="E4" s="24" t="s">
        <v>224</v>
      </c>
      <c r="F4" s="24">
        <v>4500018952</v>
      </c>
      <c r="G4" s="24">
        <v>580</v>
      </c>
      <c r="H4" s="24" t="s">
        <v>238</v>
      </c>
      <c r="I4" s="24" t="s">
        <v>225</v>
      </c>
      <c r="J4" s="24" t="s">
        <v>226</v>
      </c>
      <c r="K4" s="24" t="s">
        <v>227</v>
      </c>
      <c r="L4" s="24" t="s">
        <v>239</v>
      </c>
      <c r="M4" s="24" t="s">
        <v>243</v>
      </c>
      <c r="N4" s="24" t="s">
        <v>230</v>
      </c>
      <c r="O4" s="24" t="s">
        <v>126</v>
      </c>
      <c r="P4" s="24" t="s">
        <v>244</v>
      </c>
      <c r="Q4" s="24" t="s">
        <v>245</v>
      </c>
      <c r="R4" s="24">
        <v>20170626</v>
      </c>
      <c r="S4" s="24" t="s">
        <v>233</v>
      </c>
      <c r="T4" s="24">
        <v>20161207</v>
      </c>
      <c r="U4" s="24">
        <v>20170817</v>
      </c>
      <c r="V4" s="24">
        <v>111</v>
      </c>
      <c r="W4" s="24" t="s">
        <v>234</v>
      </c>
      <c r="X4" s="24">
        <v>111</v>
      </c>
      <c r="Y4" s="24" t="s">
        <v>234</v>
      </c>
      <c r="Z4" s="24">
        <v>110</v>
      </c>
      <c r="AA4" s="24" t="s">
        <v>234</v>
      </c>
      <c r="AB4" s="24">
        <v>110</v>
      </c>
      <c r="AC4" s="24" t="s">
        <v>234</v>
      </c>
      <c r="AD4" s="24">
        <v>333</v>
      </c>
      <c r="AE4" s="24" t="s">
        <v>235</v>
      </c>
      <c r="AF4" s="24">
        <v>338.55</v>
      </c>
      <c r="AG4" s="24" t="s">
        <v>235</v>
      </c>
      <c r="AH4" s="24">
        <v>743.58900000000006</v>
      </c>
      <c r="AI4" s="24" t="s">
        <v>236</v>
      </c>
      <c r="AJ4" s="24">
        <v>3040.82</v>
      </c>
      <c r="AK4" s="24">
        <v>0</v>
      </c>
      <c r="AL4" s="24">
        <v>0</v>
      </c>
      <c r="AM4" s="24" t="s">
        <v>237</v>
      </c>
      <c r="AN4" s="24">
        <v>0</v>
      </c>
      <c r="AO4" s="24"/>
      <c r="AP4" s="24">
        <v>0</v>
      </c>
      <c r="AQ4" s="20"/>
      <c r="AT4" t="s">
        <v>124</v>
      </c>
      <c r="AU4" s="8">
        <v>20</v>
      </c>
      <c r="AV4" s="8"/>
      <c r="AW4" s="8"/>
      <c r="AX4" s="8"/>
      <c r="AY4" s="8"/>
      <c r="AZ4" s="8"/>
      <c r="BA4" s="8"/>
      <c r="BB4" s="8"/>
      <c r="BC4" s="8"/>
      <c r="BD4" s="8"/>
      <c r="BE4" s="8"/>
    </row>
    <row r="5" spans="2:57" x14ac:dyDescent="0.3">
      <c r="B5" s="24" t="s">
        <v>222</v>
      </c>
      <c r="C5" s="24" t="s">
        <v>246</v>
      </c>
      <c r="D5" s="24">
        <v>100031</v>
      </c>
      <c r="E5" s="24" t="s">
        <v>224</v>
      </c>
      <c r="F5" s="24">
        <v>4500019329</v>
      </c>
      <c r="G5" s="24">
        <v>10</v>
      </c>
      <c r="H5" s="24"/>
      <c r="I5" s="24" t="s">
        <v>247</v>
      </c>
      <c r="J5" s="24" t="s">
        <v>226</v>
      </c>
      <c r="K5" s="24" t="s">
        <v>227</v>
      </c>
      <c r="L5" s="24" t="s">
        <v>239</v>
      </c>
      <c r="M5" s="24" t="s">
        <v>240</v>
      </c>
      <c r="N5" s="24" t="s">
        <v>230</v>
      </c>
      <c r="O5" s="24" t="s">
        <v>127</v>
      </c>
      <c r="P5" s="24" t="s">
        <v>248</v>
      </c>
      <c r="Q5" s="24" t="s">
        <v>249</v>
      </c>
      <c r="R5" s="24">
        <v>20170802</v>
      </c>
      <c r="S5" s="24" t="s">
        <v>250</v>
      </c>
      <c r="T5" s="24">
        <v>20170916</v>
      </c>
      <c r="U5" s="24">
        <v>0</v>
      </c>
      <c r="V5" s="24">
        <v>216</v>
      </c>
      <c r="W5" s="24" t="s">
        <v>234</v>
      </c>
      <c r="X5" s="24">
        <v>216</v>
      </c>
      <c r="Y5" s="24" t="s">
        <v>234</v>
      </c>
      <c r="Z5" s="24">
        <v>0</v>
      </c>
      <c r="AA5" s="24"/>
      <c r="AB5" s="24">
        <v>0</v>
      </c>
      <c r="AC5" s="24"/>
      <c r="AD5" s="24">
        <v>648</v>
      </c>
      <c r="AE5" s="24" t="s">
        <v>235</v>
      </c>
      <c r="AF5" s="24">
        <v>682.56</v>
      </c>
      <c r="AG5" s="24" t="s">
        <v>235</v>
      </c>
      <c r="AH5" s="24">
        <v>1439.424</v>
      </c>
      <c r="AI5" s="24" t="s">
        <v>236</v>
      </c>
      <c r="AJ5" s="24">
        <v>7092.1</v>
      </c>
      <c r="AK5" s="24">
        <v>0</v>
      </c>
      <c r="AL5" s="24">
        <v>0</v>
      </c>
      <c r="AM5" s="24" t="s">
        <v>237</v>
      </c>
      <c r="AN5" s="24">
        <v>0</v>
      </c>
      <c r="AO5" s="24"/>
      <c r="AP5" s="24">
        <v>0</v>
      </c>
      <c r="AT5" t="s">
        <v>126</v>
      </c>
      <c r="AU5" s="8">
        <v>111</v>
      </c>
      <c r="AV5" s="8"/>
      <c r="AW5" s="8"/>
      <c r="AX5" s="8"/>
      <c r="AY5" s="8"/>
      <c r="AZ5" s="8"/>
      <c r="BA5" s="8"/>
      <c r="BB5" s="8"/>
      <c r="BC5" s="8"/>
      <c r="BD5" s="8"/>
      <c r="BE5" s="8"/>
    </row>
    <row r="6" spans="2:57" x14ac:dyDescent="0.3">
      <c r="B6" s="24" t="s">
        <v>222</v>
      </c>
      <c r="C6" s="24" t="s">
        <v>246</v>
      </c>
      <c r="D6" s="24">
        <v>100031</v>
      </c>
      <c r="E6" s="24" t="s">
        <v>224</v>
      </c>
      <c r="F6" s="24">
        <v>4500019329</v>
      </c>
      <c r="G6" s="24">
        <v>30</v>
      </c>
      <c r="H6" s="24"/>
      <c r="I6" s="24" t="s">
        <v>247</v>
      </c>
      <c r="J6" s="24" t="s">
        <v>226</v>
      </c>
      <c r="K6" s="24" t="s">
        <v>227</v>
      </c>
      <c r="L6" s="24" t="s">
        <v>239</v>
      </c>
      <c r="M6" s="24" t="s">
        <v>240</v>
      </c>
      <c r="N6" s="24" t="s">
        <v>230</v>
      </c>
      <c r="O6" s="24" t="s">
        <v>128</v>
      </c>
      <c r="P6" s="24" t="s">
        <v>251</v>
      </c>
      <c r="Q6" s="24" t="s">
        <v>252</v>
      </c>
      <c r="R6" s="24">
        <v>20170802</v>
      </c>
      <c r="S6" s="24" t="s">
        <v>250</v>
      </c>
      <c r="T6" s="24">
        <v>20170916</v>
      </c>
      <c r="U6" s="24">
        <v>0</v>
      </c>
      <c r="V6" s="24">
        <v>648</v>
      </c>
      <c r="W6" s="24" t="s">
        <v>234</v>
      </c>
      <c r="X6" s="24">
        <v>648</v>
      </c>
      <c r="Y6" s="24" t="s">
        <v>234</v>
      </c>
      <c r="Z6" s="24">
        <v>0</v>
      </c>
      <c r="AA6" s="24"/>
      <c r="AB6" s="24">
        <v>0</v>
      </c>
      <c r="AC6" s="24"/>
      <c r="AD6" s="24">
        <v>1944</v>
      </c>
      <c r="AE6" s="24" t="s">
        <v>235</v>
      </c>
      <c r="AF6" s="24">
        <v>2047.68</v>
      </c>
      <c r="AG6" s="24" t="s">
        <v>235</v>
      </c>
      <c r="AH6" s="24">
        <v>4318.2719999999999</v>
      </c>
      <c r="AI6" s="24" t="s">
        <v>236</v>
      </c>
      <c r="AJ6" s="24">
        <v>21228.48</v>
      </c>
      <c r="AK6" s="24">
        <v>0</v>
      </c>
      <c r="AL6" s="24">
        <v>0</v>
      </c>
      <c r="AM6" s="24" t="s">
        <v>237</v>
      </c>
      <c r="AN6" s="24">
        <v>0</v>
      </c>
      <c r="AO6" s="24"/>
      <c r="AP6" s="24">
        <v>0</v>
      </c>
      <c r="AT6" t="s">
        <v>125</v>
      </c>
      <c r="AU6" s="8">
        <v>21</v>
      </c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57" x14ac:dyDescent="0.3">
      <c r="B7" s="24" t="s">
        <v>222</v>
      </c>
      <c r="C7" s="24" t="s">
        <v>246</v>
      </c>
      <c r="D7" s="24">
        <v>100031</v>
      </c>
      <c r="E7" s="24" t="s">
        <v>224</v>
      </c>
      <c r="F7" s="24">
        <v>4500019329</v>
      </c>
      <c r="G7" s="24">
        <v>60</v>
      </c>
      <c r="H7" s="24"/>
      <c r="I7" s="24" t="s">
        <v>247</v>
      </c>
      <c r="J7" s="24" t="s">
        <v>226</v>
      </c>
      <c r="K7" s="24" t="s">
        <v>227</v>
      </c>
      <c r="L7" s="24" t="s">
        <v>239</v>
      </c>
      <c r="M7" s="24" t="s">
        <v>240</v>
      </c>
      <c r="N7" s="24" t="s">
        <v>230</v>
      </c>
      <c r="O7" s="24" t="s">
        <v>129</v>
      </c>
      <c r="P7" s="24" t="s">
        <v>253</v>
      </c>
      <c r="Q7" s="24" t="s">
        <v>254</v>
      </c>
      <c r="R7" s="24">
        <v>20170802</v>
      </c>
      <c r="S7" s="24" t="s">
        <v>250</v>
      </c>
      <c r="T7" s="24">
        <v>20170916</v>
      </c>
      <c r="U7" s="24">
        <v>0</v>
      </c>
      <c r="V7" s="24">
        <v>648</v>
      </c>
      <c r="W7" s="24" t="s">
        <v>234</v>
      </c>
      <c r="X7" s="24">
        <v>648</v>
      </c>
      <c r="Y7" s="24" t="s">
        <v>234</v>
      </c>
      <c r="Z7" s="24">
        <v>0</v>
      </c>
      <c r="AA7" s="24"/>
      <c r="AB7" s="24">
        <v>0</v>
      </c>
      <c r="AC7" s="24"/>
      <c r="AD7" s="24">
        <v>1944</v>
      </c>
      <c r="AE7" s="24" t="s">
        <v>235</v>
      </c>
      <c r="AF7" s="24">
        <v>2047.68</v>
      </c>
      <c r="AG7" s="24" t="s">
        <v>235</v>
      </c>
      <c r="AH7" s="24">
        <v>4632.5519999999997</v>
      </c>
      <c r="AI7" s="24" t="s">
        <v>236</v>
      </c>
      <c r="AJ7" s="24">
        <v>20392.560000000001</v>
      </c>
      <c r="AK7" s="24">
        <v>0</v>
      </c>
      <c r="AL7" s="24">
        <v>0</v>
      </c>
      <c r="AM7" s="24" t="s">
        <v>237</v>
      </c>
      <c r="AN7" s="24">
        <v>0</v>
      </c>
      <c r="AO7" s="24"/>
      <c r="AP7" s="24">
        <v>0</v>
      </c>
      <c r="AS7">
        <v>4500019329</v>
      </c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57" x14ac:dyDescent="0.3">
      <c r="B8" s="24" t="s">
        <v>222</v>
      </c>
      <c r="C8" s="24" t="s">
        <v>246</v>
      </c>
      <c r="D8" s="24">
        <v>100031</v>
      </c>
      <c r="E8" s="24" t="s">
        <v>224</v>
      </c>
      <c r="F8" s="24">
        <v>4500019329</v>
      </c>
      <c r="G8" s="24">
        <v>70</v>
      </c>
      <c r="H8" s="24"/>
      <c r="I8" s="24" t="s">
        <v>247</v>
      </c>
      <c r="J8" s="24" t="s">
        <v>226</v>
      </c>
      <c r="K8" s="24" t="s">
        <v>227</v>
      </c>
      <c r="L8" s="24" t="s">
        <v>239</v>
      </c>
      <c r="M8" s="24" t="s">
        <v>255</v>
      </c>
      <c r="N8" s="24" t="s">
        <v>230</v>
      </c>
      <c r="O8" s="24" t="s">
        <v>130</v>
      </c>
      <c r="P8" s="24" t="s">
        <v>256</v>
      </c>
      <c r="Q8" s="24" t="s">
        <v>257</v>
      </c>
      <c r="R8" s="24">
        <v>20170802</v>
      </c>
      <c r="S8" s="24" t="s">
        <v>250</v>
      </c>
      <c r="T8" s="24">
        <v>20170916</v>
      </c>
      <c r="U8" s="24">
        <v>0</v>
      </c>
      <c r="V8" s="24">
        <v>864</v>
      </c>
      <c r="W8" s="24" t="s">
        <v>234</v>
      </c>
      <c r="X8" s="24">
        <v>864</v>
      </c>
      <c r="Y8" s="24" t="s">
        <v>234</v>
      </c>
      <c r="Z8" s="24">
        <v>0</v>
      </c>
      <c r="AA8" s="24"/>
      <c r="AB8" s="24">
        <v>0</v>
      </c>
      <c r="AC8" s="24"/>
      <c r="AD8" s="24">
        <v>2592</v>
      </c>
      <c r="AE8" s="24" t="s">
        <v>235</v>
      </c>
      <c r="AF8" s="24">
        <v>2730.24</v>
      </c>
      <c r="AG8" s="24" t="s">
        <v>235</v>
      </c>
      <c r="AH8" s="24">
        <v>5787.9359999999997</v>
      </c>
      <c r="AI8" s="24" t="s">
        <v>236</v>
      </c>
      <c r="AJ8" s="24">
        <v>28598.57</v>
      </c>
      <c r="AK8" s="24">
        <v>0</v>
      </c>
      <c r="AL8" s="24">
        <v>0</v>
      </c>
      <c r="AM8" s="24" t="s">
        <v>237</v>
      </c>
      <c r="AN8" s="24">
        <v>0</v>
      </c>
      <c r="AO8" s="24"/>
      <c r="AP8" s="24">
        <v>0</v>
      </c>
      <c r="AT8" t="s">
        <v>127</v>
      </c>
      <c r="AU8" s="8"/>
      <c r="AV8" s="8"/>
      <c r="AW8" s="8"/>
      <c r="AX8" s="8"/>
      <c r="AY8" s="8"/>
      <c r="AZ8" s="8"/>
      <c r="BA8" s="8"/>
      <c r="BB8" s="8"/>
      <c r="BC8" s="8">
        <v>216</v>
      </c>
      <c r="BD8" s="8"/>
      <c r="BE8" s="8"/>
    </row>
    <row r="9" spans="2:57" x14ac:dyDescent="0.3">
      <c r="B9" s="24" t="s">
        <v>222</v>
      </c>
      <c r="C9" s="24" t="s">
        <v>246</v>
      </c>
      <c r="D9" s="24">
        <v>100031</v>
      </c>
      <c r="E9" s="24" t="s">
        <v>224</v>
      </c>
      <c r="F9" s="24">
        <v>4500019329</v>
      </c>
      <c r="G9" s="24">
        <v>80</v>
      </c>
      <c r="H9" s="24"/>
      <c r="I9" s="24" t="s">
        <v>247</v>
      </c>
      <c r="J9" s="24" t="s">
        <v>226</v>
      </c>
      <c r="K9" s="24" t="s">
        <v>227</v>
      </c>
      <c r="L9" s="24" t="s">
        <v>228</v>
      </c>
      <c r="M9" s="24" t="s">
        <v>258</v>
      </c>
      <c r="N9" s="24" t="s">
        <v>230</v>
      </c>
      <c r="O9" s="24" t="s">
        <v>131</v>
      </c>
      <c r="P9" s="24" t="s">
        <v>259</v>
      </c>
      <c r="Q9" s="24" t="s">
        <v>260</v>
      </c>
      <c r="R9" s="24">
        <v>20170802</v>
      </c>
      <c r="S9" s="24" t="s">
        <v>250</v>
      </c>
      <c r="T9" s="24">
        <v>20170916</v>
      </c>
      <c r="U9" s="24">
        <v>0</v>
      </c>
      <c r="V9" s="24">
        <v>864</v>
      </c>
      <c r="W9" s="24" t="s">
        <v>234</v>
      </c>
      <c r="X9" s="24">
        <v>864</v>
      </c>
      <c r="Y9" s="24" t="s">
        <v>234</v>
      </c>
      <c r="Z9" s="24">
        <v>0</v>
      </c>
      <c r="AA9" s="24"/>
      <c r="AB9" s="24">
        <v>0</v>
      </c>
      <c r="AC9" s="24"/>
      <c r="AD9" s="24">
        <v>2592</v>
      </c>
      <c r="AE9" s="24" t="s">
        <v>235</v>
      </c>
      <c r="AF9" s="24">
        <v>2937.6</v>
      </c>
      <c r="AG9" s="24" t="s">
        <v>235</v>
      </c>
      <c r="AH9" s="24">
        <v>8954.4959999999992</v>
      </c>
      <c r="AI9" s="24" t="s">
        <v>236</v>
      </c>
      <c r="AJ9" s="24">
        <v>26516.16</v>
      </c>
      <c r="AK9" s="24">
        <v>0</v>
      </c>
      <c r="AL9" s="24">
        <v>0</v>
      </c>
      <c r="AM9" s="24" t="s">
        <v>237</v>
      </c>
      <c r="AN9" s="24">
        <v>0</v>
      </c>
      <c r="AO9" s="24"/>
      <c r="AP9" s="24">
        <v>0</v>
      </c>
      <c r="AT9" t="s">
        <v>128</v>
      </c>
      <c r="AU9" s="8"/>
      <c r="AV9" s="8"/>
      <c r="AW9" s="8"/>
      <c r="AX9" s="8"/>
      <c r="AY9" s="8"/>
      <c r="AZ9" s="8"/>
      <c r="BA9" s="8"/>
      <c r="BB9" s="8"/>
      <c r="BC9" s="8">
        <v>648</v>
      </c>
      <c r="BD9" s="8"/>
      <c r="BE9" s="8"/>
    </row>
    <row r="10" spans="2:57" x14ac:dyDescent="0.3">
      <c r="B10" s="24" t="s">
        <v>222</v>
      </c>
      <c r="C10" s="24" t="s">
        <v>246</v>
      </c>
      <c r="D10" s="24">
        <v>100031</v>
      </c>
      <c r="E10" s="24" t="s">
        <v>224</v>
      </c>
      <c r="F10" s="24">
        <v>4500019329</v>
      </c>
      <c r="G10" s="24">
        <v>90</v>
      </c>
      <c r="H10" s="24"/>
      <c r="I10" s="24" t="s">
        <v>247</v>
      </c>
      <c r="J10" s="24" t="s">
        <v>226</v>
      </c>
      <c r="K10" s="24" t="s">
        <v>261</v>
      </c>
      <c r="L10" s="24" t="s">
        <v>262</v>
      </c>
      <c r="M10" s="24" t="s">
        <v>263</v>
      </c>
      <c r="N10" s="24" t="s">
        <v>230</v>
      </c>
      <c r="O10" s="24" t="s">
        <v>132</v>
      </c>
      <c r="P10" s="24" t="s">
        <v>264</v>
      </c>
      <c r="Q10" s="24" t="s">
        <v>265</v>
      </c>
      <c r="R10" s="24">
        <v>20170802</v>
      </c>
      <c r="S10" s="24" t="s">
        <v>250</v>
      </c>
      <c r="T10" s="24">
        <v>20170916</v>
      </c>
      <c r="U10" s="24">
        <v>0</v>
      </c>
      <c r="V10" s="24">
        <v>140</v>
      </c>
      <c r="W10" s="24" t="s">
        <v>234</v>
      </c>
      <c r="X10" s="24">
        <v>140</v>
      </c>
      <c r="Y10" s="24" t="s">
        <v>234</v>
      </c>
      <c r="Z10" s="24">
        <v>0</v>
      </c>
      <c r="AA10" s="24"/>
      <c r="AB10" s="24">
        <v>0</v>
      </c>
      <c r="AC10" s="24"/>
      <c r="AD10" s="24">
        <v>700</v>
      </c>
      <c r="AE10" s="24" t="s">
        <v>235</v>
      </c>
      <c r="AF10" s="24">
        <v>736.4</v>
      </c>
      <c r="AG10" s="24" t="s">
        <v>235</v>
      </c>
      <c r="AH10" s="24">
        <v>1360.8</v>
      </c>
      <c r="AI10" s="24" t="s">
        <v>236</v>
      </c>
      <c r="AJ10" s="24">
        <v>9912</v>
      </c>
      <c r="AK10" s="24">
        <v>0</v>
      </c>
      <c r="AL10" s="24">
        <v>0</v>
      </c>
      <c r="AM10" s="24" t="s">
        <v>237</v>
      </c>
      <c r="AN10" s="24">
        <v>0</v>
      </c>
      <c r="AO10" s="24"/>
      <c r="AP10" s="24">
        <v>0</v>
      </c>
      <c r="AT10" t="s">
        <v>129</v>
      </c>
      <c r="AU10" s="8"/>
      <c r="AV10" s="8"/>
      <c r="AW10" s="8"/>
      <c r="AX10" s="8"/>
      <c r="AY10" s="8"/>
      <c r="AZ10" s="8"/>
      <c r="BA10" s="8"/>
      <c r="BB10" s="8"/>
      <c r="BC10" s="8">
        <v>648</v>
      </c>
      <c r="BD10" s="8"/>
      <c r="BE10" s="8"/>
    </row>
    <row r="11" spans="2:57" x14ac:dyDescent="0.3">
      <c r="B11" s="24" t="s">
        <v>222</v>
      </c>
      <c r="C11" s="24" t="s">
        <v>246</v>
      </c>
      <c r="D11" s="24">
        <v>100031</v>
      </c>
      <c r="E11" s="24" t="s">
        <v>224</v>
      </c>
      <c r="F11" s="24">
        <v>4500019329</v>
      </c>
      <c r="G11" s="24">
        <v>170</v>
      </c>
      <c r="H11" s="24"/>
      <c r="I11" s="24" t="s">
        <v>247</v>
      </c>
      <c r="J11" s="24" t="s">
        <v>226</v>
      </c>
      <c r="K11" s="24" t="s">
        <v>227</v>
      </c>
      <c r="L11" s="24" t="s">
        <v>266</v>
      </c>
      <c r="M11" s="24" t="s">
        <v>267</v>
      </c>
      <c r="N11" s="24" t="s">
        <v>230</v>
      </c>
      <c r="O11" s="24" t="s">
        <v>133</v>
      </c>
      <c r="P11" s="24" t="s">
        <v>268</v>
      </c>
      <c r="Q11" s="24" t="s">
        <v>269</v>
      </c>
      <c r="R11" s="24">
        <v>20170802</v>
      </c>
      <c r="S11" s="24" t="s">
        <v>250</v>
      </c>
      <c r="T11" s="24">
        <v>20170916</v>
      </c>
      <c r="U11" s="24">
        <v>0</v>
      </c>
      <c r="V11" s="24">
        <v>216</v>
      </c>
      <c r="W11" s="24" t="s">
        <v>234</v>
      </c>
      <c r="X11" s="24">
        <v>216</v>
      </c>
      <c r="Y11" s="24" t="s">
        <v>234</v>
      </c>
      <c r="Z11" s="24">
        <v>0</v>
      </c>
      <c r="AA11" s="24"/>
      <c r="AB11" s="24">
        <v>0</v>
      </c>
      <c r="AC11" s="24"/>
      <c r="AD11" s="24">
        <v>648</v>
      </c>
      <c r="AE11" s="24" t="s">
        <v>235</v>
      </c>
      <c r="AF11" s="24">
        <v>712.8</v>
      </c>
      <c r="AG11" s="24" t="s">
        <v>235</v>
      </c>
      <c r="AH11" s="24">
        <v>1439.424</v>
      </c>
      <c r="AI11" s="24" t="s">
        <v>236</v>
      </c>
      <c r="AJ11" s="24">
        <v>6473.52</v>
      </c>
      <c r="AK11" s="24">
        <v>0</v>
      </c>
      <c r="AL11" s="24">
        <v>0</v>
      </c>
      <c r="AM11" s="24" t="s">
        <v>237</v>
      </c>
      <c r="AN11" s="24">
        <v>0</v>
      </c>
      <c r="AO11" s="24"/>
      <c r="AP11" s="24">
        <v>0</v>
      </c>
      <c r="AT11" t="s">
        <v>130</v>
      </c>
      <c r="AU11" s="8"/>
      <c r="AV11" s="8"/>
      <c r="AW11" s="8"/>
      <c r="AX11" s="8"/>
      <c r="AY11" s="8"/>
      <c r="AZ11" s="8"/>
      <c r="BA11" s="8"/>
      <c r="BB11" s="8"/>
      <c r="BC11" s="8">
        <v>864</v>
      </c>
      <c r="BD11" s="8"/>
      <c r="BE11" s="8"/>
    </row>
    <row r="12" spans="2:57" x14ac:dyDescent="0.3">
      <c r="B12" s="24" t="s">
        <v>222</v>
      </c>
      <c r="C12" s="24" t="s">
        <v>246</v>
      </c>
      <c r="D12" s="24">
        <v>100031</v>
      </c>
      <c r="E12" s="24" t="s">
        <v>224</v>
      </c>
      <c r="F12" s="24">
        <v>4500019329</v>
      </c>
      <c r="G12" s="24">
        <v>200</v>
      </c>
      <c r="H12" s="24"/>
      <c r="I12" s="24" t="s">
        <v>247</v>
      </c>
      <c r="J12" s="24" t="s">
        <v>226</v>
      </c>
      <c r="K12" s="24" t="s">
        <v>227</v>
      </c>
      <c r="L12" s="24" t="s">
        <v>239</v>
      </c>
      <c r="M12" s="24" t="s">
        <v>243</v>
      </c>
      <c r="N12" s="24" t="s">
        <v>230</v>
      </c>
      <c r="O12" s="24" t="s">
        <v>134</v>
      </c>
      <c r="P12" s="24" t="s">
        <v>270</v>
      </c>
      <c r="Q12" s="24" t="s">
        <v>271</v>
      </c>
      <c r="R12" s="24">
        <v>20170802</v>
      </c>
      <c r="S12" s="24" t="s">
        <v>250</v>
      </c>
      <c r="T12" s="24">
        <v>20170916</v>
      </c>
      <c r="U12" s="24">
        <v>0</v>
      </c>
      <c r="V12" s="24">
        <v>84</v>
      </c>
      <c r="W12" s="24" t="s">
        <v>234</v>
      </c>
      <c r="X12" s="24">
        <v>84</v>
      </c>
      <c r="Y12" s="24" t="s">
        <v>234</v>
      </c>
      <c r="Z12" s="24">
        <v>0</v>
      </c>
      <c r="AA12" s="24"/>
      <c r="AB12" s="24">
        <v>0</v>
      </c>
      <c r="AC12" s="24"/>
      <c r="AD12" s="24">
        <v>1008</v>
      </c>
      <c r="AE12" s="24" t="s">
        <v>235</v>
      </c>
      <c r="AF12" s="24">
        <v>1108.8</v>
      </c>
      <c r="AG12" s="24" t="s">
        <v>235</v>
      </c>
      <c r="AH12" s="24">
        <v>1512</v>
      </c>
      <c r="AI12" s="24" t="s">
        <v>236</v>
      </c>
      <c r="AJ12" s="24">
        <v>7183.21</v>
      </c>
      <c r="AK12" s="24">
        <v>0</v>
      </c>
      <c r="AL12" s="24">
        <v>0</v>
      </c>
      <c r="AM12" s="24" t="s">
        <v>237</v>
      </c>
      <c r="AN12" s="24">
        <v>0</v>
      </c>
      <c r="AO12" s="24"/>
      <c r="AP12" s="24">
        <v>0</v>
      </c>
      <c r="AT12" t="s">
        <v>131</v>
      </c>
      <c r="AU12" s="8"/>
      <c r="AV12" s="8"/>
      <c r="AW12" s="8"/>
      <c r="AX12" s="8"/>
      <c r="AY12" s="8"/>
      <c r="AZ12" s="8"/>
      <c r="BA12" s="8"/>
      <c r="BB12" s="8"/>
      <c r="BC12" s="8">
        <v>864</v>
      </c>
      <c r="BD12" s="8"/>
      <c r="BE12" s="8"/>
    </row>
    <row r="13" spans="2:57" x14ac:dyDescent="0.3">
      <c r="B13" s="24" t="s">
        <v>272</v>
      </c>
      <c r="C13" s="24" t="s">
        <v>246</v>
      </c>
      <c r="D13" s="24">
        <v>100031</v>
      </c>
      <c r="E13" s="24" t="s">
        <v>224</v>
      </c>
      <c r="F13" s="24">
        <v>4500019402</v>
      </c>
      <c r="G13" s="24">
        <v>230</v>
      </c>
      <c r="H13" s="24"/>
      <c r="I13" s="24" t="s">
        <v>273</v>
      </c>
      <c r="J13" s="24" t="s">
        <v>226</v>
      </c>
      <c r="K13" s="24" t="s">
        <v>227</v>
      </c>
      <c r="L13" s="24" t="s">
        <v>274</v>
      </c>
      <c r="M13" s="24" t="s">
        <v>275</v>
      </c>
      <c r="N13" s="24" t="s">
        <v>230</v>
      </c>
      <c r="O13" s="24" t="s">
        <v>135</v>
      </c>
      <c r="P13" s="24" t="s">
        <v>276</v>
      </c>
      <c r="Q13" s="24" t="s">
        <v>277</v>
      </c>
      <c r="R13" s="24">
        <v>20170807</v>
      </c>
      <c r="S13" s="24" t="s">
        <v>278</v>
      </c>
      <c r="T13" s="24">
        <v>20170827</v>
      </c>
      <c r="U13" s="24">
        <v>20170908</v>
      </c>
      <c r="V13" s="24">
        <v>32</v>
      </c>
      <c r="W13" s="24" t="s">
        <v>279</v>
      </c>
      <c r="X13" s="24">
        <v>32</v>
      </c>
      <c r="Y13" s="24" t="s">
        <v>279</v>
      </c>
      <c r="Z13" s="24">
        <v>4</v>
      </c>
      <c r="AA13" s="24" t="s">
        <v>279</v>
      </c>
      <c r="AB13" s="24">
        <v>4</v>
      </c>
      <c r="AC13" s="24" t="s">
        <v>279</v>
      </c>
      <c r="AD13" s="24">
        <v>38.4</v>
      </c>
      <c r="AE13" s="24" t="s">
        <v>235</v>
      </c>
      <c r="AF13" s="24">
        <v>38.4</v>
      </c>
      <c r="AG13" s="24" t="s">
        <v>235</v>
      </c>
      <c r="AH13" s="24">
        <v>133.12</v>
      </c>
      <c r="AI13" s="24" t="s">
        <v>236</v>
      </c>
      <c r="AJ13" s="24">
        <v>1476.48</v>
      </c>
      <c r="AK13" s="24">
        <v>0</v>
      </c>
      <c r="AL13" s="24">
        <v>0</v>
      </c>
      <c r="AM13" s="24" t="s">
        <v>237</v>
      </c>
      <c r="AN13" s="24">
        <v>0</v>
      </c>
      <c r="AO13" s="24"/>
      <c r="AP13" s="24">
        <v>0</v>
      </c>
      <c r="AT13" t="s">
        <v>132</v>
      </c>
      <c r="AU13" s="8"/>
      <c r="AV13" s="8"/>
      <c r="AW13" s="8"/>
      <c r="AX13" s="8"/>
      <c r="AY13" s="8"/>
      <c r="AZ13" s="8"/>
      <c r="BA13" s="8"/>
      <c r="BB13" s="8"/>
      <c r="BC13" s="8">
        <v>140</v>
      </c>
      <c r="BD13" s="8"/>
      <c r="BE13" s="8"/>
    </row>
    <row r="14" spans="2:57" x14ac:dyDescent="0.3">
      <c r="B14" s="24" t="s">
        <v>222</v>
      </c>
      <c r="C14" s="24" t="s">
        <v>246</v>
      </c>
      <c r="D14" s="24">
        <v>100031</v>
      </c>
      <c r="E14" s="24" t="s">
        <v>224</v>
      </c>
      <c r="F14" s="24">
        <v>4500019469</v>
      </c>
      <c r="G14" s="24">
        <v>10</v>
      </c>
      <c r="H14" s="24"/>
      <c r="I14" s="24" t="s">
        <v>247</v>
      </c>
      <c r="J14" s="24" t="s">
        <v>226</v>
      </c>
      <c r="K14" s="24" t="s">
        <v>227</v>
      </c>
      <c r="L14" s="24" t="s">
        <v>239</v>
      </c>
      <c r="M14" s="24" t="s">
        <v>240</v>
      </c>
      <c r="N14" s="24" t="s">
        <v>230</v>
      </c>
      <c r="O14" s="24" t="s">
        <v>127</v>
      </c>
      <c r="P14" s="24" t="s">
        <v>248</v>
      </c>
      <c r="Q14" s="24" t="s">
        <v>249</v>
      </c>
      <c r="R14" s="24">
        <v>20170815</v>
      </c>
      <c r="S14" s="24" t="s">
        <v>250</v>
      </c>
      <c r="T14" s="24">
        <v>20170915</v>
      </c>
      <c r="U14" s="24">
        <v>0</v>
      </c>
      <c r="V14" s="24">
        <v>432</v>
      </c>
      <c r="W14" s="24" t="s">
        <v>234</v>
      </c>
      <c r="X14" s="24">
        <v>432</v>
      </c>
      <c r="Y14" s="24" t="s">
        <v>234</v>
      </c>
      <c r="Z14" s="24">
        <v>0</v>
      </c>
      <c r="AA14" s="24"/>
      <c r="AB14" s="24">
        <v>0</v>
      </c>
      <c r="AC14" s="24"/>
      <c r="AD14" s="24">
        <v>1296</v>
      </c>
      <c r="AE14" s="24" t="s">
        <v>235</v>
      </c>
      <c r="AF14" s="24">
        <v>1365.12</v>
      </c>
      <c r="AG14" s="24" t="s">
        <v>235</v>
      </c>
      <c r="AH14" s="24">
        <v>2878.848</v>
      </c>
      <c r="AI14" s="24" t="s">
        <v>236</v>
      </c>
      <c r="AJ14" s="24">
        <v>14443.14</v>
      </c>
      <c r="AK14" s="24">
        <v>0</v>
      </c>
      <c r="AL14" s="24">
        <v>0</v>
      </c>
      <c r="AM14" s="24" t="s">
        <v>237</v>
      </c>
      <c r="AN14" s="24">
        <v>0</v>
      </c>
      <c r="AO14" s="24"/>
      <c r="AP14" s="24">
        <v>0</v>
      </c>
      <c r="AT14" t="s">
        <v>133</v>
      </c>
      <c r="AU14" s="8"/>
      <c r="AV14" s="8"/>
      <c r="AW14" s="8"/>
      <c r="AX14" s="8"/>
      <c r="AY14" s="8"/>
      <c r="AZ14" s="8"/>
      <c r="BA14" s="8"/>
      <c r="BB14" s="8"/>
      <c r="BC14" s="8">
        <v>216</v>
      </c>
      <c r="BD14" s="8"/>
      <c r="BE14" s="8"/>
    </row>
    <row r="15" spans="2:57" x14ac:dyDescent="0.3">
      <c r="B15" s="24" t="s">
        <v>222</v>
      </c>
      <c r="C15" s="24" t="s">
        <v>246</v>
      </c>
      <c r="D15" s="24">
        <v>100031</v>
      </c>
      <c r="E15" s="24" t="s">
        <v>224</v>
      </c>
      <c r="F15" s="24">
        <v>4500019469</v>
      </c>
      <c r="G15" s="24">
        <v>20</v>
      </c>
      <c r="H15" s="24"/>
      <c r="I15" s="24" t="s">
        <v>247</v>
      </c>
      <c r="J15" s="24" t="s">
        <v>226</v>
      </c>
      <c r="K15" s="24" t="s">
        <v>227</v>
      </c>
      <c r="L15" s="24" t="s">
        <v>239</v>
      </c>
      <c r="M15" s="24" t="s">
        <v>243</v>
      </c>
      <c r="N15" s="24" t="s">
        <v>230</v>
      </c>
      <c r="O15" s="24" t="s">
        <v>136</v>
      </c>
      <c r="P15" s="24" t="s">
        <v>280</v>
      </c>
      <c r="Q15" s="24" t="s">
        <v>281</v>
      </c>
      <c r="R15" s="24">
        <v>20170815</v>
      </c>
      <c r="S15" s="24" t="s">
        <v>250</v>
      </c>
      <c r="T15" s="24">
        <v>20170915</v>
      </c>
      <c r="U15" s="24">
        <v>0</v>
      </c>
      <c r="V15" s="24">
        <v>216</v>
      </c>
      <c r="W15" s="24" t="s">
        <v>234</v>
      </c>
      <c r="X15" s="24">
        <v>216</v>
      </c>
      <c r="Y15" s="24" t="s">
        <v>234</v>
      </c>
      <c r="Z15" s="24">
        <v>0</v>
      </c>
      <c r="AA15" s="24"/>
      <c r="AB15" s="24">
        <v>0</v>
      </c>
      <c r="AC15" s="24"/>
      <c r="AD15" s="24">
        <v>648</v>
      </c>
      <c r="AE15" s="24" t="s">
        <v>235</v>
      </c>
      <c r="AF15" s="24">
        <v>682.56</v>
      </c>
      <c r="AG15" s="24" t="s">
        <v>235</v>
      </c>
      <c r="AH15" s="24">
        <v>1490.8320000000001</v>
      </c>
      <c r="AI15" s="24" t="s">
        <v>236</v>
      </c>
      <c r="AJ15" s="24">
        <v>5634.36</v>
      </c>
      <c r="AK15" s="24">
        <v>0</v>
      </c>
      <c r="AL15" s="24">
        <v>0</v>
      </c>
      <c r="AM15" s="24" t="s">
        <v>237</v>
      </c>
      <c r="AN15" s="24">
        <v>0</v>
      </c>
      <c r="AO15" s="24"/>
      <c r="AP15" s="24">
        <v>0</v>
      </c>
      <c r="AT15" t="s">
        <v>134</v>
      </c>
      <c r="AU15" s="8"/>
      <c r="AV15" s="8"/>
      <c r="AW15" s="8"/>
      <c r="AX15" s="8"/>
      <c r="AY15" s="8"/>
      <c r="AZ15" s="8"/>
      <c r="BA15" s="8"/>
      <c r="BB15" s="8"/>
      <c r="BC15" s="8">
        <v>84</v>
      </c>
      <c r="BD15" s="8"/>
      <c r="BE15" s="8"/>
    </row>
    <row r="16" spans="2:57" x14ac:dyDescent="0.3">
      <c r="B16" s="24" t="s">
        <v>222</v>
      </c>
      <c r="C16" s="24" t="s">
        <v>246</v>
      </c>
      <c r="D16" s="24">
        <v>100031</v>
      </c>
      <c r="E16" s="24" t="s">
        <v>224</v>
      </c>
      <c r="F16" s="24">
        <v>4500019469</v>
      </c>
      <c r="G16" s="24">
        <v>30</v>
      </c>
      <c r="H16" s="24"/>
      <c r="I16" s="24" t="s">
        <v>247</v>
      </c>
      <c r="J16" s="24" t="s">
        <v>226</v>
      </c>
      <c r="K16" s="24" t="s">
        <v>227</v>
      </c>
      <c r="L16" s="24" t="s">
        <v>239</v>
      </c>
      <c r="M16" s="24" t="s">
        <v>240</v>
      </c>
      <c r="N16" s="24" t="s">
        <v>230</v>
      </c>
      <c r="O16" s="24" t="s">
        <v>129</v>
      </c>
      <c r="P16" s="24" t="s">
        <v>253</v>
      </c>
      <c r="Q16" s="24" t="s">
        <v>254</v>
      </c>
      <c r="R16" s="24">
        <v>20170815</v>
      </c>
      <c r="S16" s="24" t="s">
        <v>250</v>
      </c>
      <c r="T16" s="24">
        <v>20170915</v>
      </c>
      <c r="U16" s="24">
        <v>0</v>
      </c>
      <c r="V16" s="24">
        <v>216</v>
      </c>
      <c r="W16" s="24" t="s">
        <v>234</v>
      </c>
      <c r="X16" s="24">
        <v>216</v>
      </c>
      <c r="Y16" s="24" t="s">
        <v>234</v>
      </c>
      <c r="Z16" s="24">
        <v>0</v>
      </c>
      <c r="AA16" s="24"/>
      <c r="AB16" s="24">
        <v>0</v>
      </c>
      <c r="AC16" s="24"/>
      <c r="AD16" s="24">
        <v>648</v>
      </c>
      <c r="AE16" s="24" t="s">
        <v>235</v>
      </c>
      <c r="AF16" s="24">
        <v>682.56</v>
      </c>
      <c r="AG16" s="24" t="s">
        <v>235</v>
      </c>
      <c r="AH16" s="24">
        <v>1544.184</v>
      </c>
      <c r="AI16" s="24" t="s">
        <v>236</v>
      </c>
      <c r="AJ16" s="24">
        <v>6794.8</v>
      </c>
      <c r="AK16" s="24">
        <v>0</v>
      </c>
      <c r="AL16" s="24">
        <v>0</v>
      </c>
      <c r="AM16" s="24" t="s">
        <v>237</v>
      </c>
      <c r="AN16" s="24">
        <v>0</v>
      </c>
      <c r="AO16" s="24"/>
      <c r="AP16" s="24">
        <v>0</v>
      </c>
      <c r="AS16">
        <v>4500019402</v>
      </c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2:57" x14ac:dyDescent="0.3">
      <c r="B17" s="24" t="s">
        <v>222</v>
      </c>
      <c r="C17" s="24" t="s">
        <v>246</v>
      </c>
      <c r="D17" s="24">
        <v>100031</v>
      </c>
      <c r="E17" s="24" t="s">
        <v>224</v>
      </c>
      <c r="F17" s="24">
        <v>4500019469</v>
      </c>
      <c r="G17" s="24">
        <v>40</v>
      </c>
      <c r="H17" s="24"/>
      <c r="I17" s="24" t="s">
        <v>247</v>
      </c>
      <c r="J17" s="24" t="s">
        <v>226</v>
      </c>
      <c r="K17" s="24" t="s">
        <v>227</v>
      </c>
      <c r="L17" s="24" t="s">
        <v>239</v>
      </c>
      <c r="M17" s="24" t="s">
        <v>255</v>
      </c>
      <c r="N17" s="24" t="s">
        <v>230</v>
      </c>
      <c r="O17" s="24" t="s">
        <v>130</v>
      </c>
      <c r="P17" s="24" t="s">
        <v>256</v>
      </c>
      <c r="Q17" s="24" t="s">
        <v>257</v>
      </c>
      <c r="R17" s="24">
        <v>20170815</v>
      </c>
      <c r="S17" s="24" t="s">
        <v>250</v>
      </c>
      <c r="T17" s="24">
        <v>20170915</v>
      </c>
      <c r="U17" s="24">
        <v>0</v>
      </c>
      <c r="V17" s="24">
        <v>864</v>
      </c>
      <c r="W17" s="24" t="s">
        <v>234</v>
      </c>
      <c r="X17" s="24">
        <v>864</v>
      </c>
      <c r="Y17" s="24" t="s">
        <v>234</v>
      </c>
      <c r="Z17" s="24">
        <v>0</v>
      </c>
      <c r="AA17" s="24"/>
      <c r="AB17" s="24">
        <v>0</v>
      </c>
      <c r="AC17" s="24"/>
      <c r="AD17" s="24">
        <v>2592</v>
      </c>
      <c r="AE17" s="24" t="s">
        <v>235</v>
      </c>
      <c r="AF17" s="24">
        <v>2730.24</v>
      </c>
      <c r="AG17" s="24" t="s">
        <v>235</v>
      </c>
      <c r="AH17" s="24">
        <v>5787.9359999999997</v>
      </c>
      <c r="AI17" s="24" t="s">
        <v>236</v>
      </c>
      <c r="AJ17" s="24">
        <v>29116.45</v>
      </c>
      <c r="AK17" s="24">
        <v>0</v>
      </c>
      <c r="AL17" s="24">
        <v>0</v>
      </c>
      <c r="AM17" s="24" t="s">
        <v>237</v>
      </c>
      <c r="AN17" s="24">
        <v>0</v>
      </c>
      <c r="AO17" s="24"/>
      <c r="AP17" s="24">
        <v>0</v>
      </c>
      <c r="AT17" t="s">
        <v>135</v>
      </c>
      <c r="AU17" s="8"/>
      <c r="AV17" s="8">
        <v>32</v>
      </c>
      <c r="AW17" s="8"/>
      <c r="AX17" s="8"/>
      <c r="AY17" s="8"/>
      <c r="AZ17" s="8"/>
      <c r="BA17" s="8"/>
      <c r="BB17" s="8"/>
      <c r="BC17" s="8"/>
      <c r="BD17" s="8"/>
      <c r="BE17" s="8"/>
    </row>
    <row r="18" spans="2:57" x14ac:dyDescent="0.3">
      <c r="B18" s="24" t="s">
        <v>222</v>
      </c>
      <c r="C18" s="24" t="s">
        <v>246</v>
      </c>
      <c r="D18" s="24">
        <v>100031</v>
      </c>
      <c r="E18" s="24" t="s">
        <v>224</v>
      </c>
      <c r="F18" s="24">
        <v>4500019469</v>
      </c>
      <c r="G18" s="24">
        <v>50</v>
      </c>
      <c r="H18" s="24"/>
      <c r="I18" s="24" t="s">
        <v>247</v>
      </c>
      <c r="J18" s="24" t="s">
        <v>226</v>
      </c>
      <c r="K18" s="24" t="s">
        <v>227</v>
      </c>
      <c r="L18" s="24" t="s">
        <v>228</v>
      </c>
      <c r="M18" s="24" t="s">
        <v>258</v>
      </c>
      <c r="N18" s="24" t="s">
        <v>230</v>
      </c>
      <c r="O18" s="24" t="s">
        <v>131</v>
      </c>
      <c r="P18" s="24" t="s">
        <v>259</v>
      </c>
      <c r="Q18" s="24" t="s">
        <v>260</v>
      </c>
      <c r="R18" s="24">
        <v>20170815</v>
      </c>
      <c r="S18" s="24" t="s">
        <v>250</v>
      </c>
      <c r="T18" s="24">
        <v>20170915</v>
      </c>
      <c r="U18" s="24">
        <v>0</v>
      </c>
      <c r="V18" s="24">
        <v>720</v>
      </c>
      <c r="W18" s="24" t="s">
        <v>234</v>
      </c>
      <c r="X18" s="24">
        <v>720</v>
      </c>
      <c r="Y18" s="24" t="s">
        <v>234</v>
      </c>
      <c r="Z18" s="24">
        <v>0</v>
      </c>
      <c r="AA18" s="24"/>
      <c r="AB18" s="24">
        <v>0</v>
      </c>
      <c r="AC18" s="24"/>
      <c r="AD18" s="24">
        <v>2160</v>
      </c>
      <c r="AE18" s="24" t="s">
        <v>235</v>
      </c>
      <c r="AF18" s="24">
        <v>2448</v>
      </c>
      <c r="AG18" s="24" t="s">
        <v>235</v>
      </c>
      <c r="AH18" s="24">
        <v>7462.08</v>
      </c>
      <c r="AI18" s="24" t="s">
        <v>236</v>
      </c>
      <c r="AJ18" s="24">
        <v>22105.87</v>
      </c>
      <c r="AK18" s="24">
        <v>0</v>
      </c>
      <c r="AL18" s="24">
        <v>0</v>
      </c>
      <c r="AM18" s="24" t="s">
        <v>237</v>
      </c>
      <c r="AN18" s="24">
        <v>0</v>
      </c>
      <c r="AO18" s="24"/>
      <c r="AP18" s="24">
        <v>0</v>
      </c>
      <c r="AS18">
        <v>4500019469</v>
      </c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2:57" x14ac:dyDescent="0.3">
      <c r="B19" s="24" t="s">
        <v>222</v>
      </c>
      <c r="C19" s="24" t="s">
        <v>246</v>
      </c>
      <c r="D19" s="24">
        <v>100031</v>
      </c>
      <c r="E19" s="24" t="s">
        <v>224</v>
      </c>
      <c r="F19" s="24">
        <v>4500019469</v>
      </c>
      <c r="G19" s="24">
        <v>60</v>
      </c>
      <c r="H19" s="24"/>
      <c r="I19" s="24" t="s">
        <v>247</v>
      </c>
      <c r="J19" s="24" t="s">
        <v>226</v>
      </c>
      <c r="K19" s="24" t="s">
        <v>227</v>
      </c>
      <c r="L19" s="24" t="s">
        <v>266</v>
      </c>
      <c r="M19" s="24" t="s">
        <v>267</v>
      </c>
      <c r="N19" s="24" t="s">
        <v>230</v>
      </c>
      <c r="O19" s="24" t="s">
        <v>133</v>
      </c>
      <c r="P19" s="24" t="s">
        <v>268</v>
      </c>
      <c r="Q19" s="24" t="s">
        <v>269</v>
      </c>
      <c r="R19" s="24">
        <v>20170815</v>
      </c>
      <c r="S19" s="24" t="s">
        <v>250</v>
      </c>
      <c r="T19" s="24">
        <v>20170915</v>
      </c>
      <c r="U19" s="24">
        <v>0</v>
      </c>
      <c r="V19" s="24">
        <v>216</v>
      </c>
      <c r="W19" s="24" t="s">
        <v>234</v>
      </c>
      <c r="X19" s="24">
        <v>216</v>
      </c>
      <c r="Y19" s="24" t="s">
        <v>234</v>
      </c>
      <c r="Z19" s="24">
        <v>0</v>
      </c>
      <c r="AA19" s="24"/>
      <c r="AB19" s="24">
        <v>0</v>
      </c>
      <c r="AC19" s="24"/>
      <c r="AD19" s="24">
        <v>648</v>
      </c>
      <c r="AE19" s="24" t="s">
        <v>235</v>
      </c>
      <c r="AF19" s="24">
        <v>712.8</v>
      </c>
      <c r="AG19" s="24" t="s">
        <v>235</v>
      </c>
      <c r="AH19" s="24">
        <v>1439.424</v>
      </c>
      <c r="AI19" s="24" t="s">
        <v>236</v>
      </c>
      <c r="AJ19" s="24">
        <v>6588.6</v>
      </c>
      <c r="AK19" s="24">
        <v>0</v>
      </c>
      <c r="AL19" s="24">
        <v>0</v>
      </c>
      <c r="AM19" s="24" t="s">
        <v>237</v>
      </c>
      <c r="AN19" s="24">
        <v>0</v>
      </c>
      <c r="AO19" s="24"/>
      <c r="AP19" s="24">
        <v>0</v>
      </c>
      <c r="AT19" t="s">
        <v>127</v>
      </c>
      <c r="AU19" s="8"/>
      <c r="AV19" s="8"/>
      <c r="AW19" s="8">
        <v>432</v>
      </c>
      <c r="AX19" s="8"/>
      <c r="AY19" s="8"/>
      <c r="AZ19" s="8"/>
      <c r="BA19" s="8"/>
      <c r="BB19" s="8"/>
      <c r="BC19" s="8"/>
      <c r="BD19" s="8"/>
      <c r="BE19" s="8"/>
    </row>
    <row r="20" spans="2:57" x14ac:dyDescent="0.3">
      <c r="B20" s="24" t="s">
        <v>222</v>
      </c>
      <c r="C20" s="24" t="s">
        <v>246</v>
      </c>
      <c r="D20" s="24">
        <v>100031</v>
      </c>
      <c r="E20" s="24" t="s">
        <v>224</v>
      </c>
      <c r="F20" s="24">
        <v>4500019469</v>
      </c>
      <c r="G20" s="24">
        <v>70</v>
      </c>
      <c r="H20" s="24"/>
      <c r="I20" s="24" t="s">
        <v>247</v>
      </c>
      <c r="J20" s="24" t="s">
        <v>226</v>
      </c>
      <c r="K20" s="24" t="s">
        <v>227</v>
      </c>
      <c r="L20" s="24" t="s">
        <v>239</v>
      </c>
      <c r="M20" s="24" t="s">
        <v>243</v>
      </c>
      <c r="N20" s="24" t="s">
        <v>230</v>
      </c>
      <c r="O20" s="24" t="s">
        <v>134</v>
      </c>
      <c r="P20" s="24" t="s">
        <v>270</v>
      </c>
      <c r="Q20" s="24" t="s">
        <v>271</v>
      </c>
      <c r="R20" s="24">
        <v>20170815</v>
      </c>
      <c r="S20" s="24" t="s">
        <v>250</v>
      </c>
      <c r="T20" s="24">
        <v>20170915</v>
      </c>
      <c r="U20" s="24">
        <v>0</v>
      </c>
      <c r="V20" s="24">
        <v>420</v>
      </c>
      <c r="W20" s="24" t="s">
        <v>234</v>
      </c>
      <c r="X20" s="24">
        <v>420</v>
      </c>
      <c r="Y20" s="24" t="s">
        <v>234</v>
      </c>
      <c r="Z20" s="24">
        <v>0</v>
      </c>
      <c r="AA20" s="24"/>
      <c r="AB20" s="24">
        <v>0</v>
      </c>
      <c r="AC20" s="24"/>
      <c r="AD20" s="24">
        <v>5040</v>
      </c>
      <c r="AE20" s="24" t="s">
        <v>235</v>
      </c>
      <c r="AF20" s="24">
        <v>5544</v>
      </c>
      <c r="AG20" s="24" t="s">
        <v>235</v>
      </c>
      <c r="AH20" s="24">
        <v>7560</v>
      </c>
      <c r="AI20" s="24" t="s">
        <v>236</v>
      </c>
      <c r="AJ20" s="24">
        <v>38004.620000000003</v>
      </c>
      <c r="AK20" s="24">
        <v>0</v>
      </c>
      <c r="AL20" s="24">
        <v>0</v>
      </c>
      <c r="AM20" s="24" t="s">
        <v>237</v>
      </c>
      <c r="AN20" s="24">
        <v>0</v>
      </c>
      <c r="AO20" s="24"/>
      <c r="AP20" s="24">
        <v>0</v>
      </c>
      <c r="AT20" t="s">
        <v>136</v>
      </c>
      <c r="AU20" s="8"/>
      <c r="AV20" s="8"/>
      <c r="AW20" s="8">
        <v>216</v>
      </c>
      <c r="AX20" s="8"/>
      <c r="AY20" s="8"/>
      <c r="AZ20" s="8"/>
      <c r="BA20" s="8"/>
      <c r="BB20" s="8"/>
      <c r="BC20" s="8"/>
      <c r="BD20" s="8"/>
      <c r="BE20" s="8"/>
    </row>
    <row r="21" spans="2:57" x14ac:dyDescent="0.3">
      <c r="B21" s="24" t="s">
        <v>222</v>
      </c>
      <c r="C21" s="24" t="s">
        <v>246</v>
      </c>
      <c r="D21" s="24">
        <v>100031</v>
      </c>
      <c r="E21" s="24" t="s">
        <v>224</v>
      </c>
      <c r="F21" s="24">
        <v>4500019469</v>
      </c>
      <c r="G21" s="24">
        <v>80</v>
      </c>
      <c r="H21" s="24"/>
      <c r="I21" s="24" t="s">
        <v>247</v>
      </c>
      <c r="J21" s="24" t="s">
        <v>226</v>
      </c>
      <c r="K21" s="24" t="s">
        <v>227</v>
      </c>
      <c r="L21" s="24" t="s">
        <v>239</v>
      </c>
      <c r="M21" s="24" t="s">
        <v>255</v>
      </c>
      <c r="N21" s="24" t="s">
        <v>230</v>
      </c>
      <c r="O21" s="24" t="s">
        <v>137</v>
      </c>
      <c r="P21" s="24" t="s">
        <v>282</v>
      </c>
      <c r="Q21" s="24" t="s">
        <v>283</v>
      </c>
      <c r="R21" s="24">
        <v>20170815</v>
      </c>
      <c r="S21" s="24" t="s">
        <v>250</v>
      </c>
      <c r="T21" s="24">
        <v>20170915</v>
      </c>
      <c r="U21" s="24">
        <v>0</v>
      </c>
      <c r="V21" s="24">
        <v>432</v>
      </c>
      <c r="W21" s="24" t="s">
        <v>234</v>
      </c>
      <c r="X21" s="24">
        <v>432</v>
      </c>
      <c r="Y21" s="24" t="s">
        <v>234</v>
      </c>
      <c r="Z21" s="24">
        <v>0</v>
      </c>
      <c r="AA21" s="24"/>
      <c r="AB21" s="24">
        <v>0</v>
      </c>
      <c r="AC21" s="24"/>
      <c r="AD21" s="24">
        <v>1296</v>
      </c>
      <c r="AE21" s="24" t="s">
        <v>235</v>
      </c>
      <c r="AF21" s="24">
        <v>1512</v>
      </c>
      <c r="AG21" s="24" t="s">
        <v>235</v>
      </c>
      <c r="AH21" s="24">
        <v>0</v>
      </c>
      <c r="AI21" s="24" t="s">
        <v>236</v>
      </c>
      <c r="AJ21" s="24">
        <v>15603.58</v>
      </c>
      <c r="AK21" s="24">
        <v>0</v>
      </c>
      <c r="AL21" s="24">
        <v>0</v>
      </c>
      <c r="AM21" s="24" t="s">
        <v>237</v>
      </c>
      <c r="AN21" s="24">
        <v>0</v>
      </c>
      <c r="AO21" s="24"/>
      <c r="AP21" s="24">
        <v>0</v>
      </c>
      <c r="AT21" t="s">
        <v>129</v>
      </c>
      <c r="AU21" s="8"/>
      <c r="AV21" s="8"/>
      <c r="AW21" s="8">
        <v>216</v>
      </c>
      <c r="AX21" s="8"/>
      <c r="AY21" s="8"/>
      <c r="AZ21" s="8"/>
      <c r="BA21" s="8"/>
      <c r="BB21" s="8"/>
      <c r="BC21" s="8"/>
      <c r="BD21" s="8"/>
      <c r="BE21" s="8"/>
    </row>
    <row r="22" spans="2:57" x14ac:dyDescent="0.3">
      <c r="B22" s="24" t="s">
        <v>222</v>
      </c>
      <c r="C22" s="24" t="s">
        <v>246</v>
      </c>
      <c r="D22" s="24">
        <v>100031</v>
      </c>
      <c r="E22" s="24" t="s">
        <v>224</v>
      </c>
      <c r="F22" s="24">
        <v>4500019469</v>
      </c>
      <c r="G22" s="24">
        <v>90</v>
      </c>
      <c r="H22" s="24"/>
      <c r="I22" s="24" t="s">
        <v>247</v>
      </c>
      <c r="J22" s="24" t="s">
        <v>226</v>
      </c>
      <c r="K22" s="24" t="s">
        <v>227</v>
      </c>
      <c r="L22" s="24" t="s">
        <v>284</v>
      </c>
      <c r="M22" s="24" t="s">
        <v>240</v>
      </c>
      <c r="N22" s="24" t="s">
        <v>230</v>
      </c>
      <c r="O22" s="24" t="s">
        <v>138</v>
      </c>
      <c r="P22" s="24" t="s">
        <v>285</v>
      </c>
      <c r="Q22" s="24" t="s">
        <v>286</v>
      </c>
      <c r="R22" s="24">
        <v>20170815</v>
      </c>
      <c r="S22" s="24" t="s">
        <v>250</v>
      </c>
      <c r="T22" s="24">
        <v>20170915</v>
      </c>
      <c r="U22" s="24">
        <v>0</v>
      </c>
      <c r="V22" s="24">
        <v>312</v>
      </c>
      <c r="W22" s="24" t="s">
        <v>234</v>
      </c>
      <c r="X22" s="24">
        <v>312</v>
      </c>
      <c r="Y22" s="24" t="s">
        <v>234</v>
      </c>
      <c r="Z22" s="24">
        <v>0</v>
      </c>
      <c r="AA22" s="24"/>
      <c r="AB22" s="24">
        <v>0</v>
      </c>
      <c r="AC22" s="24"/>
      <c r="AD22" s="24">
        <v>78</v>
      </c>
      <c r="AE22" s="24" t="s">
        <v>235</v>
      </c>
      <c r="AF22" s="24">
        <v>93.6</v>
      </c>
      <c r="AG22" s="24" t="s">
        <v>235</v>
      </c>
      <c r="AH22" s="24">
        <v>0</v>
      </c>
      <c r="AI22" s="24" t="s">
        <v>236</v>
      </c>
      <c r="AJ22" s="24">
        <v>1179.3599999999999</v>
      </c>
      <c r="AK22" s="24">
        <v>0</v>
      </c>
      <c r="AL22" s="24">
        <v>0</v>
      </c>
      <c r="AM22" s="24" t="s">
        <v>237</v>
      </c>
      <c r="AN22" s="24">
        <v>0</v>
      </c>
      <c r="AO22" s="24"/>
      <c r="AP22" s="24">
        <v>0</v>
      </c>
      <c r="AT22" t="s">
        <v>130</v>
      </c>
      <c r="AU22" s="8"/>
      <c r="AV22" s="8"/>
      <c r="AW22" s="8">
        <v>864</v>
      </c>
      <c r="AX22" s="8"/>
      <c r="AY22" s="8"/>
      <c r="AZ22" s="8"/>
      <c r="BA22" s="8"/>
      <c r="BB22" s="8"/>
      <c r="BC22" s="8"/>
      <c r="BD22" s="8"/>
      <c r="BE22" s="8"/>
    </row>
    <row r="23" spans="2:57" x14ac:dyDescent="0.3">
      <c r="B23" s="24" t="s">
        <v>222</v>
      </c>
      <c r="C23" s="24" t="s">
        <v>246</v>
      </c>
      <c r="D23" s="24">
        <v>100031</v>
      </c>
      <c r="E23" s="24" t="s">
        <v>224</v>
      </c>
      <c r="F23" s="24">
        <v>4500019584</v>
      </c>
      <c r="G23" s="24">
        <v>10</v>
      </c>
      <c r="H23" s="24"/>
      <c r="I23" s="24" t="s">
        <v>247</v>
      </c>
      <c r="J23" s="24" t="s">
        <v>226</v>
      </c>
      <c r="K23" s="24" t="s">
        <v>227</v>
      </c>
      <c r="L23" s="24" t="s">
        <v>239</v>
      </c>
      <c r="M23" s="24" t="s">
        <v>240</v>
      </c>
      <c r="N23" s="24" t="s">
        <v>230</v>
      </c>
      <c r="O23" s="24" t="s">
        <v>127</v>
      </c>
      <c r="P23" s="24" t="s">
        <v>248</v>
      </c>
      <c r="Q23" s="24" t="s">
        <v>249</v>
      </c>
      <c r="R23" s="24">
        <v>20170825</v>
      </c>
      <c r="S23" s="24" t="s">
        <v>287</v>
      </c>
      <c r="T23" s="24">
        <v>20171016</v>
      </c>
      <c r="U23" s="24">
        <v>0</v>
      </c>
      <c r="V23" s="24">
        <v>310</v>
      </c>
      <c r="W23" s="24" t="s">
        <v>234</v>
      </c>
      <c r="X23" s="24">
        <v>310</v>
      </c>
      <c r="Y23" s="24" t="s">
        <v>234</v>
      </c>
      <c r="Z23" s="24">
        <v>0</v>
      </c>
      <c r="AA23" s="24"/>
      <c r="AB23" s="24">
        <v>0</v>
      </c>
      <c r="AC23" s="24"/>
      <c r="AD23" s="24">
        <v>930</v>
      </c>
      <c r="AE23" s="24" t="s">
        <v>235</v>
      </c>
      <c r="AF23" s="24">
        <v>979.6</v>
      </c>
      <c r="AG23" s="24" t="s">
        <v>235</v>
      </c>
      <c r="AH23" s="24">
        <v>2065.84</v>
      </c>
      <c r="AI23" s="24" t="s">
        <v>236</v>
      </c>
      <c r="AJ23" s="24">
        <v>10364.290000000001</v>
      </c>
      <c r="AK23" s="24">
        <v>0</v>
      </c>
      <c r="AL23" s="24">
        <v>0</v>
      </c>
      <c r="AM23" s="24" t="s">
        <v>237</v>
      </c>
      <c r="AN23" s="24">
        <v>0</v>
      </c>
      <c r="AO23" s="24"/>
      <c r="AP23" s="24">
        <v>0</v>
      </c>
      <c r="AT23" t="s">
        <v>131</v>
      </c>
      <c r="AU23" s="8"/>
      <c r="AV23" s="8"/>
      <c r="AW23" s="8">
        <v>720</v>
      </c>
      <c r="AX23" s="8"/>
      <c r="AY23" s="8"/>
      <c r="AZ23" s="8"/>
      <c r="BA23" s="8"/>
      <c r="BB23" s="8"/>
      <c r="BC23" s="8"/>
      <c r="BD23" s="8"/>
      <c r="BE23" s="8"/>
    </row>
    <row r="24" spans="2:57" x14ac:dyDescent="0.3">
      <c r="B24" s="24" t="s">
        <v>222</v>
      </c>
      <c r="C24" s="24" t="s">
        <v>246</v>
      </c>
      <c r="D24" s="24">
        <v>100031</v>
      </c>
      <c r="E24" s="24" t="s">
        <v>224</v>
      </c>
      <c r="F24" s="24">
        <v>4500019584</v>
      </c>
      <c r="G24" s="24">
        <v>20</v>
      </c>
      <c r="H24" s="24"/>
      <c r="I24" s="24" t="s">
        <v>247</v>
      </c>
      <c r="J24" s="24" t="s">
        <v>226</v>
      </c>
      <c r="K24" s="24" t="s">
        <v>227</v>
      </c>
      <c r="L24" s="24" t="s">
        <v>239</v>
      </c>
      <c r="M24" s="24" t="s">
        <v>240</v>
      </c>
      <c r="N24" s="24" t="s">
        <v>230</v>
      </c>
      <c r="O24" s="24" t="s">
        <v>128</v>
      </c>
      <c r="P24" s="24" t="s">
        <v>251</v>
      </c>
      <c r="Q24" s="24" t="s">
        <v>252</v>
      </c>
      <c r="R24" s="24">
        <v>20170825</v>
      </c>
      <c r="S24" s="24" t="s">
        <v>287</v>
      </c>
      <c r="T24" s="24">
        <v>20171016</v>
      </c>
      <c r="U24" s="24">
        <v>0</v>
      </c>
      <c r="V24" s="24">
        <v>1551</v>
      </c>
      <c r="W24" s="24" t="s">
        <v>234</v>
      </c>
      <c r="X24" s="24">
        <v>1551</v>
      </c>
      <c r="Y24" s="24" t="s">
        <v>234</v>
      </c>
      <c r="Z24" s="24">
        <v>0</v>
      </c>
      <c r="AA24" s="24"/>
      <c r="AB24" s="24">
        <v>0</v>
      </c>
      <c r="AC24" s="24"/>
      <c r="AD24" s="24">
        <v>4653</v>
      </c>
      <c r="AE24" s="24" t="s">
        <v>235</v>
      </c>
      <c r="AF24" s="24">
        <v>4901.16</v>
      </c>
      <c r="AG24" s="24" t="s">
        <v>235</v>
      </c>
      <c r="AH24" s="24">
        <v>10335.864</v>
      </c>
      <c r="AI24" s="24" t="s">
        <v>236</v>
      </c>
      <c r="AJ24" s="24">
        <v>50821.93</v>
      </c>
      <c r="AK24" s="24">
        <v>0</v>
      </c>
      <c r="AL24" s="24">
        <v>0</v>
      </c>
      <c r="AM24" s="24" t="s">
        <v>237</v>
      </c>
      <c r="AN24" s="24">
        <v>0</v>
      </c>
      <c r="AO24" s="24"/>
      <c r="AP24" s="24">
        <v>0</v>
      </c>
      <c r="AT24" t="s">
        <v>133</v>
      </c>
      <c r="AU24" s="8"/>
      <c r="AV24" s="8"/>
      <c r="AW24" s="8">
        <v>216</v>
      </c>
      <c r="AX24" s="8"/>
      <c r="AY24" s="8"/>
      <c r="AZ24" s="8"/>
      <c r="BA24" s="8"/>
      <c r="BB24" s="8"/>
      <c r="BC24" s="8"/>
      <c r="BD24" s="8"/>
      <c r="BE24" s="8"/>
    </row>
    <row r="25" spans="2:57" x14ac:dyDescent="0.3">
      <c r="B25" s="24" t="s">
        <v>222</v>
      </c>
      <c r="C25" s="24" t="s">
        <v>246</v>
      </c>
      <c r="D25" s="24">
        <v>100031</v>
      </c>
      <c r="E25" s="24" t="s">
        <v>224</v>
      </c>
      <c r="F25" s="24">
        <v>4500019584</v>
      </c>
      <c r="G25" s="24">
        <v>30</v>
      </c>
      <c r="H25" s="24"/>
      <c r="I25" s="24" t="s">
        <v>247</v>
      </c>
      <c r="J25" s="24" t="s">
        <v>226</v>
      </c>
      <c r="K25" s="24" t="s">
        <v>227</v>
      </c>
      <c r="L25" s="24" t="s">
        <v>239</v>
      </c>
      <c r="M25" s="24" t="s">
        <v>240</v>
      </c>
      <c r="N25" s="24" t="s">
        <v>230</v>
      </c>
      <c r="O25" s="24" t="s">
        <v>139</v>
      </c>
      <c r="P25" s="24" t="s">
        <v>288</v>
      </c>
      <c r="Q25" s="24" t="s">
        <v>289</v>
      </c>
      <c r="R25" s="24">
        <v>20170825</v>
      </c>
      <c r="S25" s="24" t="s">
        <v>287</v>
      </c>
      <c r="T25" s="24">
        <v>20171016</v>
      </c>
      <c r="U25" s="24">
        <v>0</v>
      </c>
      <c r="V25" s="24">
        <v>359</v>
      </c>
      <c r="W25" s="24" t="s">
        <v>234</v>
      </c>
      <c r="X25" s="24">
        <v>359</v>
      </c>
      <c r="Y25" s="24" t="s">
        <v>234</v>
      </c>
      <c r="Z25" s="24">
        <v>0</v>
      </c>
      <c r="AA25" s="24"/>
      <c r="AB25" s="24">
        <v>0</v>
      </c>
      <c r="AC25" s="24"/>
      <c r="AD25" s="24">
        <v>359</v>
      </c>
      <c r="AE25" s="24" t="s">
        <v>235</v>
      </c>
      <c r="AF25" s="24">
        <v>359</v>
      </c>
      <c r="AG25" s="24" t="s">
        <v>235</v>
      </c>
      <c r="AH25" s="24">
        <v>1163.1600000000001</v>
      </c>
      <c r="AI25" s="24" t="s">
        <v>236</v>
      </c>
      <c r="AJ25" s="24">
        <v>4445.32</v>
      </c>
      <c r="AK25" s="24">
        <v>0</v>
      </c>
      <c r="AL25" s="24">
        <v>0</v>
      </c>
      <c r="AM25" s="24" t="s">
        <v>237</v>
      </c>
      <c r="AN25" s="24">
        <v>0</v>
      </c>
      <c r="AO25" s="24"/>
      <c r="AP25" s="24">
        <v>0</v>
      </c>
      <c r="AT25" t="s">
        <v>134</v>
      </c>
      <c r="AU25" s="8"/>
      <c r="AV25" s="8"/>
      <c r="AW25" s="8">
        <v>420</v>
      </c>
      <c r="AX25" s="8"/>
      <c r="AY25" s="8"/>
      <c r="AZ25" s="8"/>
      <c r="BA25" s="8"/>
      <c r="BB25" s="8"/>
      <c r="BC25" s="8"/>
      <c r="BD25" s="8"/>
      <c r="BE25" s="8"/>
    </row>
    <row r="26" spans="2:57" x14ac:dyDescent="0.3">
      <c r="B26" s="24" t="s">
        <v>222</v>
      </c>
      <c r="C26" s="24" t="s">
        <v>246</v>
      </c>
      <c r="D26" s="24">
        <v>100031</v>
      </c>
      <c r="E26" s="24" t="s">
        <v>224</v>
      </c>
      <c r="F26" s="24">
        <v>4500019584</v>
      </c>
      <c r="G26" s="24">
        <v>40</v>
      </c>
      <c r="H26" s="24"/>
      <c r="I26" s="24" t="s">
        <v>247</v>
      </c>
      <c r="J26" s="24" t="s">
        <v>226</v>
      </c>
      <c r="K26" s="24" t="s">
        <v>227</v>
      </c>
      <c r="L26" s="24" t="s">
        <v>239</v>
      </c>
      <c r="M26" s="24" t="s">
        <v>243</v>
      </c>
      <c r="N26" s="24" t="s">
        <v>230</v>
      </c>
      <c r="O26" s="24" t="s">
        <v>136</v>
      </c>
      <c r="P26" s="24" t="s">
        <v>280</v>
      </c>
      <c r="Q26" s="24" t="s">
        <v>281</v>
      </c>
      <c r="R26" s="24">
        <v>20170825</v>
      </c>
      <c r="S26" s="24" t="s">
        <v>287</v>
      </c>
      <c r="T26" s="24">
        <v>20171016</v>
      </c>
      <c r="U26" s="24">
        <v>0</v>
      </c>
      <c r="V26" s="24">
        <v>403</v>
      </c>
      <c r="W26" s="24" t="s">
        <v>234</v>
      </c>
      <c r="X26" s="24">
        <v>403</v>
      </c>
      <c r="Y26" s="24" t="s">
        <v>234</v>
      </c>
      <c r="Z26" s="24">
        <v>0</v>
      </c>
      <c r="AA26" s="24"/>
      <c r="AB26" s="24">
        <v>0</v>
      </c>
      <c r="AC26" s="24"/>
      <c r="AD26" s="24">
        <v>1209</v>
      </c>
      <c r="AE26" s="24" t="s">
        <v>235</v>
      </c>
      <c r="AF26" s="24">
        <v>1273.48</v>
      </c>
      <c r="AG26" s="24" t="s">
        <v>235</v>
      </c>
      <c r="AH26" s="24">
        <v>2781.5059999999999</v>
      </c>
      <c r="AI26" s="24" t="s">
        <v>236</v>
      </c>
      <c r="AJ26" s="24">
        <v>10512.26</v>
      </c>
      <c r="AK26" s="24">
        <v>0</v>
      </c>
      <c r="AL26" s="24">
        <v>0</v>
      </c>
      <c r="AM26" s="24" t="s">
        <v>237</v>
      </c>
      <c r="AN26" s="24">
        <v>0</v>
      </c>
      <c r="AO26" s="24"/>
      <c r="AP26" s="24">
        <v>0</v>
      </c>
      <c r="AT26" t="s">
        <v>137</v>
      </c>
      <c r="AU26" s="8"/>
      <c r="AV26" s="8"/>
      <c r="AW26" s="8">
        <v>432</v>
      </c>
      <c r="AX26" s="8"/>
      <c r="AY26" s="8"/>
      <c r="AZ26" s="8"/>
      <c r="BA26" s="8"/>
      <c r="BB26" s="8"/>
      <c r="BC26" s="8"/>
      <c r="BD26" s="8"/>
      <c r="BE26" s="8"/>
    </row>
    <row r="27" spans="2:57" x14ac:dyDescent="0.3">
      <c r="B27" s="24" t="s">
        <v>222</v>
      </c>
      <c r="C27" s="24" t="s">
        <v>246</v>
      </c>
      <c r="D27" s="24">
        <v>100031</v>
      </c>
      <c r="E27" s="24" t="s">
        <v>224</v>
      </c>
      <c r="F27" s="24">
        <v>4500019584</v>
      </c>
      <c r="G27" s="24">
        <v>50</v>
      </c>
      <c r="H27" s="24"/>
      <c r="I27" s="24" t="s">
        <v>247</v>
      </c>
      <c r="J27" s="24" t="s">
        <v>226</v>
      </c>
      <c r="K27" s="24" t="s">
        <v>227</v>
      </c>
      <c r="L27" s="24" t="s">
        <v>239</v>
      </c>
      <c r="M27" s="24" t="s">
        <v>240</v>
      </c>
      <c r="N27" s="24" t="s">
        <v>230</v>
      </c>
      <c r="O27" s="24" t="s">
        <v>129</v>
      </c>
      <c r="P27" s="24" t="s">
        <v>253</v>
      </c>
      <c r="Q27" s="24" t="s">
        <v>254</v>
      </c>
      <c r="R27" s="24">
        <v>20170825</v>
      </c>
      <c r="S27" s="24" t="s">
        <v>287</v>
      </c>
      <c r="T27" s="24">
        <v>20171016</v>
      </c>
      <c r="U27" s="24">
        <v>0</v>
      </c>
      <c r="V27" s="24">
        <v>700</v>
      </c>
      <c r="W27" s="24" t="s">
        <v>234</v>
      </c>
      <c r="X27" s="24">
        <v>700</v>
      </c>
      <c r="Y27" s="24" t="s">
        <v>234</v>
      </c>
      <c r="Z27" s="24">
        <v>0</v>
      </c>
      <c r="AA27" s="24"/>
      <c r="AB27" s="24">
        <v>0</v>
      </c>
      <c r="AC27" s="24"/>
      <c r="AD27" s="24">
        <v>2100</v>
      </c>
      <c r="AE27" s="24" t="s">
        <v>235</v>
      </c>
      <c r="AF27" s="24">
        <v>2212</v>
      </c>
      <c r="AG27" s="24" t="s">
        <v>235</v>
      </c>
      <c r="AH27" s="24">
        <v>5004.3</v>
      </c>
      <c r="AI27" s="24" t="s">
        <v>236</v>
      </c>
      <c r="AJ27" s="24">
        <v>22020.18</v>
      </c>
      <c r="AK27" s="24">
        <v>0</v>
      </c>
      <c r="AL27" s="24">
        <v>0</v>
      </c>
      <c r="AM27" s="24" t="s">
        <v>237</v>
      </c>
      <c r="AN27" s="24">
        <v>0</v>
      </c>
      <c r="AO27" s="24"/>
      <c r="AP27" s="24">
        <v>0</v>
      </c>
      <c r="AT27" t="s">
        <v>138</v>
      </c>
      <c r="AU27" s="8"/>
      <c r="AV27" s="8"/>
      <c r="AW27" s="8">
        <v>312</v>
      </c>
      <c r="AX27" s="8"/>
      <c r="AY27" s="8"/>
      <c r="AZ27" s="8"/>
      <c r="BA27" s="8"/>
      <c r="BB27" s="8"/>
      <c r="BC27" s="8"/>
      <c r="BD27" s="8"/>
      <c r="BE27" s="8"/>
    </row>
    <row r="28" spans="2:57" x14ac:dyDescent="0.3">
      <c r="B28" s="24" t="s">
        <v>222</v>
      </c>
      <c r="C28" s="24" t="s">
        <v>246</v>
      </c>
      <c r="D28" s="24">
        <v>100031</v>
      </c>
      <c r="E28" s="24" t="s">
        <v>224</v>
      </c>
      <c r="F28" s="24">
        <v>4500019584</v>
      </c>
      <c r="G28" s="24">
        <v>60</v>
      </c>
      <c r="H28" s="24"/>
      <c r="I28" s="24" t="s">
        <v>247</v>
      </c>
      <c r="J28" s="24" t="s">
        <v>226</v>
      </c>
      <c r="K28" s="24" t="s">
        <v>227</v>
      </c>
      <c r="L28" s="24" t="s">
        <v>239</v>
      </c>
      <c r="M28" s="24" t="s">
        <v>255</v>
      </c>
      <c r="N28" s="24" t="s">
        <v>230</v>
      </c>
      <c r="O28" s="24" t="s">
        <v>130</v>
      </c>
      <c r="P28" s="24" t="s">
        <v>256</v>
      </c>
      <c r="Q28" s="24" t="s">
        <v>257</v>
      </c>
      <c r="R28" s="24">
        <v>20170825</v>
      </c>
      <c r="S28" s="24" t="s">
        <v>287</v>
      </c>
      <c r="T28" s="24">
        <v>20171016</v>
      </c>
      <c r="U28" s="24">
        <v>0</v>
      </c>
      <c r="V28" s="24">
        <v>851</v>
      </c>
      <c r="W28" s="24" t="s">
        <v>234</v>
      </c>
      <c r="X28" s="24">
        <v>851</v>
      </c>
      <c r="Y28" s="24" t="s">
        <v>234</v>
      </c>
      <c r="Z28" s="24">
        <v>0</v>
      </c>
      <c r="AA28" s="24"/>
      <c r="AB28" s="24">
        <v>0</v>
      </c>
      <c r="AC28" s="24"/>
      <c r="AD28" s="24">
        <v>2553</v>
      </c>
      <c r="AE28" s="24" t="s">
        <v>235</v>
      </c>
      <c r="AF28" s="24">
        <v>2689.16</v>
      </c>
      <c r="AG28" s="24" t="s">
        <v>235</v>
      </c>
      <c r="AH28" s="24">
        <v>5700.8490000000002</v>
      </c>
      <c r="AI28" s="24" t="s">
        <v>236</v>
      </c>
      <c r="AJ28" s="24">
        <v>28678.36</v>
      </c>
      <c r="AK28" s="24">
        <v>0</v>
      </c>
      <c r="AL28" s="24">
        <v>0</v>
      </c>
      <c r="AM28" s="24" t="s">
        <v>237</v>
      </c>
      <c r="AN28" s="24">
        <v>0</v>
      </c>
      <c r="AO28" s="24"/>
      <c r="AP28" s="24">
        <v>0</v>
      </c>
      <c r="AS28">
        <v>4500019584</v>
      </c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2:57" x14ac:dyDescent="0.3">
      <c r="B29" s="24" t="s">
        <v>222</v>
      </c>
      <c r="C29" s="24" t="s">
        <v>246</v>
      </c>
      <c r="D29" s="24">
        <v>100031</v>
      </c>
      <c r="E29" s="24" t="s">
        <v>224</v>
      </c>
      <c r="F29" s="24">
        <v>4500019584</v>
      </c>
      <c r="G29" s="24">
        <v>70</v>
      </c>
      <c r="H29" s="24"/>
      <c r="I29" s="24" t="s">
        <v>247</v>
      </c>
      <c r="J29" s="24" t="s">
        <v>226</v>
      </c>
      <c r="K29" s="24" t="s">
        <v>290</v>
      </c>
      <c r="L29" s="24" t="s">
        <v>291</v>
      </c>
      <c r="M29" s="24" t="s">
        <v>292</v>
      </c>
      <c r="N29" s="24" t="s">
        <v>230</v>
      </c>
      <c r="O29" s="24" t="s">
        <v>140</v>
      </c>
      <c r="P29" s="24" t="s">
        <v>293</v>
      </c>
      <c r="Q29" s="24" t="s">
        <v>294</v>
      </c>
      <c r="R29" s="24">
        <v>20170825</v>
      </c>
      <c r="S29" s="24" t="s">
        <v>287</v>
      </c>
      <c r="T29" s="24">
        <v>20171016</v>
      </c>
      <c r="U29" s="24">
        <v>0</v>
      </c>
      <c r="V29" s="24">
        <v>121</v>
      </c>
      <c r="W29" s="24" t="s">
        <v>234</v>
      </c>
      <c r="X29" s="24">
        <v>121</v>
      </c>
      <c r="Y29" s="24" t="s">
        <v>234</v>
      </c>
      <c r="Z29" s="24">
        <v>0</v>
      </c>
      <c r="AA29" s="24"/>
      <c r="AB29" s="24">
        <v>0</v>
      </c>
      <c r="AC29" s="24"/>
      <c r="AD29" s="24">
        <v>605</v>
      </c>
      <c r="AE29" s="24" t="s">
        <v>235</v>
      </c>
      <c r="AF29" s="24">
        <v>656.90899999999999</v>
      </c>
      <c r="AG29" s="24" t="s">
        <v>235</v>
      </c>
      <c r="AH29" s="24">
        <v>2404.5120000000002</v>
      </c>
      <c r="AI29" s="24" t="s">
        <v>236</v>
      </c>
      <c r="AJ29" s="24">
        <v>3214.49</v>
      </c>
      <c r="AK29" s="24">
        <v>0</v>
      </c>
      <c r="AL29" s="24">
        <v>0</v>
      </c>
      <c r="AM29" s="24" t="s">
        <v>237</v>
      </c>
      <c r="AN29" s="24">
        <v>0</v>
      </c>
      <c r="AO29" s="24"/>
      <c r="AP29" s="24">
        <v>0</v>
      </c>
      <c r="AT29" t="s">
        <v>127</v>
      </c>
      <c r="AU29" s="8"/>
      <c r="AV29" s="8"/>
      <c r="AW29" s="8"/>
      <c r="AX29" s="8"/>
      <c r="AY29" s="8"/>
      <c r="AZ29" s="8">
        <v>310</v>
      </c>
      <c r="BA29" s="8"/>
      <c r="BB29" s="8"/>
      <c r="BC29" s="8"/>
      <c r="BD29" s="8"/>
      <c r="BE29" s="8"/>
    </row>
    <row r="30" spans="2:57" x14ac:dyDescent="0.3">
      <c r="B30" s="24" t="s">
        <v>222</v>
      </c>
      <c r="C30" s="24" t="s">
        <v>246</v>
      </c>
      <c r="D30" s="24">
        <v>100031</v>
      </c>
      <c r="E30" s="24" t="s">
        <v>224</v>
      </c>
      <c r="F30" s="24">
        <v>4500019584</v>
      </c>
      <c r="G30" s="24">
        <v>80</v>
      </c>
      <c r="H30" s="24"/>
      <c r="I30" s="24" t="s">
        <v>247</v>
      </c>
      <c r="J30" s="24" t="s">
        <v>226</v>
      </c>
      <c r="K30" s="24" t="s">
        <v>227</v>
      </c>
      <c r="L30" s="24" t="s">
        <v>239</v>
      </c>
      <c r="M30" s="24" t="s">
        <v>255</v>
      </c>
      <c r="N30" s="24" t="s">
        <v>230</v>
      </c>
      <c r="O30" s="24" t="s">
        <v>141</v>
      </c>
      <c r="P30" s="24" t="s">
        <v>295</v>
      </c>
      <c r="Q30" s="24" t="s">
        <v>296</v>
      </c>
      <c r="R30" s="24">
        <v>20170825</v>
      </c>
      <c r="S30" s="24" t="s">
        <v>287</v>
      </c>
      <c r="T30" s="24">
        <v>20171016</v>
      </c>
      <c r="U30" s="24">
        <v>0</v>
      </c>
      <c r="V30" s="24">
        <v>12</v>
      </c>
      <c r="W30" s="24" t="s">
        <v>234</v>
      </c>
      <c r="X30" s="24">
        <v>12</v>
      </c>
      <c r="Y30" s="24" t="s">
        <v>234</v>
      </c>
      <c r="Z30" s="24">
        <v>0</v>
      </c>
      <c r="AA30" s="24"/>
      <c r="AB30" s="24">
        <v>0</v>
      </c>
      <c r="AC30" s="24"/>
      <c r="AD30" s="24">
        <v>36</v>
      </c>
      <c r="AE30" s="24" t="s">
        <v>235</v>
      </c>
      <c r="AF30" s="24">
        <v>36.323999999999998</v>
      </c>
      <c r="AG30" s="24" t="s">
        <v>235</v>
      </c>
      <c r="AH30" s="24">
        <v>48</v>
      </c>
      <c r="AI30" s="24" t="s">
        <v>236</v>
      </c>
      <c r="AJ30" s="24">
        <v>426.51</v>
      </c>
      <c r="AK30" s="24">
        <v>0</v>
      </c>
      <c r="AL30" s="24">
        <v>0</v>
      </c>
      <c r="AM30" s="24" t="s">
        <v>237</v>
      </c>
      <c r="AN30" s="24">
        <v>0</v>
      </c>
      <c r="AO30" s="24"/>
      <c r="AP30" s="24">
        <v>0</v>
      </c>
      <c r="AT30" t="s">
        <v>128</v>
      </c>
      <c r="AU30" s="8"/>
      <c r="AV30" s="8"/>
      <c r="AW30" s="8"/>
      <c r="AX30" s="8"/>
      <c r="AY30" s="8"/>
      <c r="AZ30" s="8">
        <v>1551</v>
      </c>
      <c r="BA30" s="8"/>
      <c r="BB30" s="8"/>
      <c r="BC30" s="8"/>
      <c r="BD30" s="8"/>
      <c r="BE30" s="8"/>
    </row>
    <row r="31" spans="2:57" x14ac:dyDescent="0.3">
      <c r="B31" s="24" t="s">
        <v>222</v>
      </c>
      <c r="C31" s="24" t="s">
        <v>246</v>
      </c>
      <c r="D31" s="24">
        <v>100031</v>
      </c>
      <c r="E31" s="24" t="s">
        <v>224</v>
      </c>
      <c r="F31" s="24">
        <v>4500019584</v>
      </c>
      <c r="G31" s="24">
        <v>90</v>
      </c>
      <c r="H31" s="24"/>
      <c r="I31" s="24" t="s">
        <v>247</v>
      </c>
      <c r="J31" s="24" t="s">
        <v>226</v>
      </c>
      <c r="K31" s="24" t="s">
        <v>227</v>
      </c>
      <c r="L31" s="24" t="s">
        <v>284</v>
      </c>
      <c r="M31" s="24" t="s">
        <v>240</v>
      </c>
      <c r="N31" s="24" t="s">
        <v>230</v>
      </c>
      <c r="O31" s="24" t="s">
        <v>138</v>
      </c>
      <c r="P31" s="24" t="s">
        <v>285</v>
      </c>
      <c r="Q31" s="24" t="s">
        <v>286</v>
      </c>
      <c r="R31" s="24">
        <v>20170825</v>
      </c>
      <c r="S31" s="24" t="s">
        <v>287</v>
      </c>
      <c r="T31" s="24">
        <v>20171016</v>
      </c>
      <c r="U31" s="24">
        <v>0</v>
      </c>
      <c r="V31" s="24">
        <v>5795</v>
      </c>
      <c r="W31" s="24" t="s">
        <v>234</v>
      </c>
      <c r="X31" s="24">
        <v>5795</v>
      </c>
      <c r="Y31" s="24" t="s">
        <v>234</v>
      </c>
      <c r="Z31" s="24">
        <v>0</v>
      </c>
      <c r="AA31" s="24"/>
      <c r="AB31" s="24">
        <v>0</v>
      </c>
      <c r="AC31" s="24"/>
      <c r="AD31" s="24">
        <v>1448.75</v>
      </c>
      <c r="AE31" s="24" t="s">
        <v>235</v>
      </c>
      <c r="AF31" s="24">
        <v>1738.5</v>
      </c>
      <c r="AG31" s="24" t="s">
        <v>235</v>
      </c>
      <c r="AH31" s="24">
        <v>0</v>
      </c>
      <c r="AI31" s="24" t="s">
        <v>236</v>
      </c>
      <c r="AJ31" s="24">
        <v>21905.1</v>
      </c>
      <c r="AK31" s="24">
        <v>0</v>
      </c>
      <c r="AL31" s="24">
        <v>0</v>
      </c>
      <c r="AM31" s="24" t="s">
        <v>237</v>
      </c>
      <c r="AN31" s="24">
        <v>0</v>
      </c>
      <c r="AO31" s="24"/>
      <c r="AP31" s="24">
        <v>0</v>
      </c>
      <c r="AT31" t="s">
        <v>139</v>
      </c>
      <c r="AU31" s="8"/>
      <c r="AV31" s="8"/>
      <c r="AW31" s="8"/>
      <c r="AX31" s="8"/>
      <c r="AY31" s="8"/>
      <c r="AZ31" s="8">
        <v>359</v>
      </c>
      <c r="BA31" s="8"/>
      <c r="BB31" s="8"/>
      <c r="BC31" s="8"/>
      <c r="BD31" s="8"/>
      <c r="BE31" s="8"/>
    </row>
    <row r="32" spans="2:57" x14ac:dyDescent="0.3">
      <c r="B32" s="24" t="s">
        <v>272</v>
      </c>
      <c r="C32" s="24" t="s">
        <v>246</v>
      </c>
      <c r="D32" s="24">
        <v>100031</v>
      </c>
      <c r="E32" s="24" t="s">
        <v>224</v>
      </c>
      <c r="F32" s="24">
        <v>4500019652</v>
      </c>
      <c r="G32" s="24">
        <v>10</v>
      </c>
      <c r="H32" s="24"/>
      <c r="I32" s="24" t="s">
        <v>273</v>
      </c>
      <c r="J32" s="24" t="s">
        <v>226</v>
      </c>
      <c r="K32" s="24" t="s">
        <v>227</v>
      </c>
      <c r="L32" s="24" t="s">
        <v>284</v>
      </c>
      <c r="M32" s="24" t="s">
        <v>240</v>
      </c>
      <c r="N32" s="24" t="s">
        <v>230</v>
      </c>
      <c r="O32" s="24" t="s">
        <v>142</v>
      </c>
      <c r="P32" s="24" t="s">
        <v>297</v>
      </c>
      <c r="Q32" s="24" t="s">
        <v>298</v>
      </c>
      <c r="R32" s="24">
        <v>20170901</v>
      </c>
      <c r="S32" s="24" t="s">
        <v>299</v>
      </c>
      <c r="T32" s="24">
        <v>20170924</v>
      </c>
      <c r="U32" s="24">
        <v>0</v>
      </c>
      <c r="V32" s="24">
        <v>334</v>
      </c>
      <c r="W32" s="24" t="s">
        <v>234</v>
      </c>
      <c r="X32" s="24">
        <v>334</v>
      </c>
      <c r="Y32" s="24" t="s">
        <v>234</v>
      </c>
      <c r="Z32" s="24">
        <v>0</v>
      </c>
      <c r="AA32" s="24"/>
      <c r="AB32" s="24">
        <v>0</v>
      </c>
      <c r="AC32" s="24"/>
      <c r="AD32" s="24">
        <v>1002</v>
      </c>
      <c r="AE32" s="24" t="s">
        <v>235</v>
      </c>
      <c r="AF32" s="24">
        <v>1002</v>
      </c>
      <c r="AG32" s="24" t="s">
        <v>235</v>
      </c>
      <c r="AH32" s="24">
        <v>898.46</v>
      </c>
      <c r="AI32" s="24" t="s">
        <v>236</v>
      </c>
      <c r="AJ32" s="24">
        <v>15230.4</v>
      </c>
      <c r="AK32" s="24">
        <v>0</v>
      </c>
      <c r="AL32" s="24">
        <v>0</v>
      </c>
      <c r="AM32" s="24" t="s">
        <v>237</v>
      </c>
      <c r="AN32" s="24">
        <v>0</v>
      </c>
      <c r="AO32" s="24"/>
      <c r="AP32" s="24">
        <v>0</v>
      </c>
      <c r="AT32" t="s">
        <v>136</v>
      </c>
      <c r="AU32" s="8"/>
      <c r="AV32" s="8"/>
      <c r="AW32" s="8"/>
      <c r="AX32" s="8"/>
      <c r="AY32" s="8"/>
      <c r="AZ32" s="8">
        <v>403</v>
      </c>
      <c r="BA32" s="8"/>
      <c r="BB32" s="8"/>
      <c r="BC32" s="8"/>
      <c r="BD32" s="8"/>
      <c r="BE32" s="8"/>
    </row>
    <row r="33" spans="2:57" x14ac:dyDescent="0.3">
      <c r="B33" s="24" t="s">
        <v>272</v>
      </c>
      <c r="C33" s="24" t="s">
        <v>300</v>
      </c>
      <c r="D33" s="24">
        <v>100031</v>
      </c>
      <c r="E33" s="24" t="s">
        <v>224</v>
      </c>
      <c r="F33" s="24">
        <v>4500019735</v>
      </c>
      <c r="G33" s="24">
        <v>10</v>
      </c>
      <c r="H33" s="24"/>
      <c r="I33" s="24" t="s">
        <v>301</v>
      </c>
      <c r="J33" s="24" t="s">
        <v>226</v>
      </c>
      <c r="K33" s="24" t="s">
        <v>227</v>
      </c>
      <c r="L33" s="24" t="s">
        <v>302</v>
      </c>
      <c r="M33" s="24" t="s">
        <v>303</v>
      </c>
      <c r="N33" s="24" t="s">
        <v>230</v>
      </c>
      <c r="O33" s="24" t="s">
        <v>143</v>
      </c>
      <c r="P33" s="24" t="s">
        <v>304</v>
      </c>
      <c r="Q33" s="24" t="s">
        <v>305</v>
      </c>
      <c r="R33" s="24">
        <v>20170908</v>
      </c>
      <c r="S33" s="24" t="s">
        <v>306</v>
      </c>
      <c r="T33" s="24">
        <v>20170918</v>
      </c>
      <c r="U33" s="24">
        <v>0</v>
      </c>
      <c r="V33" s="24">
        <v>50</v>
      </c>
      <c r="W33" s="24" t="s">
        <v>234</v>
      </c>
      <c r="X33" s="24">
        <v>50</v>
      </c>
      <c r="Y33" s="24" t="s">
        <v>234</v>
      </c>
      <c r="Z33" s="24">
        <v>0</v>
      </c>
      <c r="AA33" s="24"/>
      <c r="AB33" s="24">
        <v>0</v>
      </c>
      <c r="AC33" s="24"/>
      <c r="AD33" s="24">
        <v>50</v>
      </c>
      <c r="AE33" s="24" t="s">
        <v>235</v>
      </c>
      <c r="AF33" s="24">
        <v>55</v>
      </c>
      <c r="AG33" s="24" t="s">
        <v>235</v>
      </c>
      <c r="AH33" s="24">
        <v>150</v>
      </c>
      <c r="AI33" s="24" t="s">
        <v>236</v>
      </c>
      <c r="AJ33" s="24">
        <v>1111.1300000000001</v>
      </c>
      <c r="AK33" s="24">
        <v>0</v>
      </c>
      <c r="AL33" s="24">
        <v>0</v>
      </c>
      <c r="AM33" s="24" t="s">
        <v>237</v>
      </c>
      <c r="AN33" s="24">
        <v>0</v>
      </c>
      <c r="AO33" s="24"/>
      <c r="AP33" s="24">
        <v>0</v>
      </c>
      <c r="AT33" t="s">
        <v>129</v>
      </c>
      <c r="AU33" s="8"/>
      <c r="AV33" s="8"/>
      <c r="AW33" s="8"/>
      <c r="AX33" s="8"/>
      <c r="AY33" s="8"/>
      <c r="AZ33" s="8">
        <v>700</v>
      </c>
      <c r="BA33" s="8"/>
      <c r="BB33" s="8"/>
      <c r="BC33" s="8"/>
      <c r="BD33" s="8"/>
      <c r="BE33" s="8"/>
    </row>
    <row r="34" spans="2:57" x14ac:dyDescent="0.3">
      <c r="B34" s="24" t="s">
        <v>272</v>
      </c>
      <c r="C34" s="24" t="s">
        <v>300</v>
      </c>
      <c r="D34" s="24">
        <v>100031</v>
      </c>
      <c r="E34" s="24" t="s">
        <v>224</v>
      </c>
      <c r="F34" s="24">
        <v>4500019735</v>
      </c>
      <c r="G34" s="24">
        <v>20</v>
      </c>
      <c r="H34" s="24"/>
      <c r="I34" s="24" t="s">
        <v>301</v>
      </c>
      <c r="J34" s="24" t="s">
        <v>226</v>
      </c>
      <c r="K34" s="24" t="s">
        <v>227</v>
      </c>
      <c r="L34" s="24" t="s">
        <v>302</v>
      </c>
      <c r="M34" s="24" t="s">
        <v>307</v>
      </c>
      <c r="N34" s="24" t="s">
        <v>230</v>
      </c>
      <c r="O34" s="24" t="s">
        <v>144</v>
      </c>
      <c r="P34" s="24" t="s">
        <v>308</v>
      </c>
      <c r="Q34" s="24" t="s">
        <v>309</v>
      </c>
      <c r="R34" s="24">
        <v>20170908</v>
      </c>
      <c r="S34" s="24" t="s">
        <v>306</v>
      </c>
      <c r="T34" s="24">
        <v>20170918</v>
      </c>
      <c r="U34" s="24">
        <v>0</v>
      </c>
      <c r="V34" s="24">
        <v>60</v>
      </c>
      <c r="W34" s="24" t="s">
        <v>234</v>
      </c>
      <c r="X34" s="24">
        <v>60</v>
      </c>
      <c r="Y34" s="24" t="s">
        <v>234</v>
      </c>
      <c r="Z34" s="24">
        <v>0</v>
      </c>
      <c r="AA34" s="24"/>
      <c r="AB34" s="24">
        <v>0</v>
      </c>
      <c r="AC34" s="24"/>
      <c r="AD34" s="24">
        <v>60</v>
      </c>
      <c r="AE34" s="24" t="s">
        <v>235</v>
      </c>
      <c r="AF34" s="24">
        <v>60</v>
      </c>
      <c r="AG34" s="24" t="s">
        <v>235</v>
      </c>
      <c r="AH34" s="24">
        <v>0</v>
      </c>
      <c r="AI34" s="24" t="s">
        <v>236</v>
      </c>
      <c r="AJ34" s="24">
        <v>1333.35</v>
      </c>
      <c r="AK34" s="24">
        <v>0</v>
      </c>
      <c r="AL34" s="24">
        <v>0</v>
      </c>
      <c r="AM34" s="24" t="s">
        <v>237</v>
      </c>
      <c r="AN34" s="24">
        <v>0</v>
      </c>
      <c r="AO34" s="24"/>
      <c r="AP34" s="24">
        <v>0</v>
      </c>
      <c r="AT34" t="s">
        <v>130</v>
      </c>
      <c r="AU34" s="8"/>
      <c r="AV34" s="8"/>
      <c r="AW34" s="8"/>
      <c r="AX34" s="8"/>
      <c r="AY34" s="8"/>
      <c r="AZ34" s="8">
        <v>851</v>
      </c>
      <c r="BA34" s="8"/>
      <c r="BB34" s="8"/>
      <c r="BC34" s="8"/>
      <c r="BD34" s="8"/>
      <c r="BE34" s="8"/>
    </row>
    <row r="35" spans="2:57" x14ac:dyDescent="0.3">
      <c r="B35" s="24" t="s">
        <v>272</v>
      </c>
      <c r="C35" s="24" t="s">
        <v>300</v>
      </c>
      <c r="D35" s="24">
        <v>100031</v>
      </c>
      <c r="E35" s="24" t="s">
        <v>224</v>
      </c>
      <c r="F35" s="24">
        <v>4500019735</v>
      </c>
      <c r="G35" s="24">
        <v>30</v>
      </c>
      <c r="H35" s="24"/>
      <c r="I35" s="24" t="s">
        <v>301</v>
      </c>
      <c r="J35" s="24" t="s">
        <v>226</v>
      </c>
      <c r="K35" s="24" t="s">
        <v>261</v>
      </c>
      <c r="L35" s="24" t="s">
        <v>262</v>
      </c>
      <c r="M35" s="24" t="s">
        <v>263</v>
      </c>
      <c r="N35" s="24" t="s">
        <v>230</v>
      </c>
      <c r="O35" s="24" t="s">
        <v>145</v>
      </c>
      <c r="P35" s="24" t="s">
        <v>310</v>
      </c>
      <c r="Q35" s="24" t="s">
        <v>311</v>
      </c>
      <c r="R35" s="24">
        <v>20170908</v>
      </c>
      <c r="S35" s="24" t="s">
        <v>306</v>
      </c>
      <c r="T35" s="24">
        <v>20170918</v>
      </c>
      <c r="U35" s="24">
        <v>0</v>
      </c>
      <c r="V35" s="24">
        <v>2</v>
      </c>
      <c r="W35" s="24" t="s">
        <v>234</v>
      </c>
      <c r="X35" s="24">
        <v>2</v>
      </c>
      <c r="Y35" s="24" t="s">
        <v>234</v>
      </c>
      <c r="Z35" s="24">
        <v>0</v>
      </c>
      <c r="AA35" s="24"/>
      <c r="AB35" s="24">
        <v>0</v>
      </c>
      <c r="AC35" s="24"/>
      <c r="AD35" s="24">
        <v>10</v>
      </c>
      <c r="AE35" s="24" t="s">
        <v>235</v>
      </c>
      <c r="AF35" s="24">
        <v>10.199999999999999</v>
      </c>
      <c r="AG35" s="24" t="s">
        <v>235</v>
      </c>
      <c r="AH35" s="24">
        <v>0.02</v>
      </c>
      <c r="AI35" s="24" t="s">
        <v>236</v>
      </c>
      <c r="AJ35" s="24">
        <v>177.9</v>
      </c>
      <c r="AK35" s="24">
        <v>0</v>
      </c>
      <c r="AL35" s="24">
        <v>0</v>
      </c>
      <c r="AM35" s="24" t="s">
        <v>237</v>
      </c>
      <c r="AN35" s="24">
        <v>0</v>
      </c>
      <c r="AO35" s="24"/>
      <c r="AP35" s="24">
        <v>0</v>
      </c>
      <c r="AT35" t="s">
        <v>140</v>
      </c>
      <c r="AU35" s="8"/>
      <c r="AV35" s="8"/>
      <c r="AW35" s="8"/>
      <c r="AX35" s="8"/>
      <c r="AY35" s="8"/>
      <c r="AZ35" s="8">
        <v>121</v>
      </c>
      <c r="BA35" s="8"/>
      <c r="BB35" s="8"/>
      <c r="BC35" s="8"/>
      <c r="BD35" s="8"/>
      <c r="BE35" s="8"/>
    </row>
    <row r="36" spans="2:57" x14ac:dyDescent="0.3">
      <c r="B36" s="24" t="s">
        <v>272</v>
      </c>
      <c r="C36" s="24" t="s">
        <v>300</v>
      </c>
      <c r="D36" s="24">
        <v>100031</v>
      </c>
      <c r="E36" s="24" t="s">
        <v>224</v>
      </c>
      <c r="F36" s="24">
        <v>4500019735</v>
      </c>
      <c r="G36" s="24">
        <v>40</v>
      </c>
      <c r="H36" s="24"/>
      <c r="I36" s="24" t="s">
        <v>301</v>
      </c>
      <c r="J36" s="24" t="s">
        <v>226</v>
      </c>
      <c r="K36" s="24" t="s">
        <v>227</v>
      </c>
      <c r="L36" s="24" t="s">
        <v>266</v>
      </c>
      <c r="M36" s="24" t="s">
        <v>312</v>
      </c>
      <c r="N36" s="24" t="s">
        <v>230</v>
      </c>
      <c r="O36" s="24" t="s">
        <v>146</v>
      </c>
      <c r="P36" s="24" t="s">
        <v>313</v>
      </c>
      <c r="Q36" s="24" t="s">
        <v>314</v>
      </c>
      <c r="R36" s="24">
        <v>20170908</v>
      </c>
      <c r="S36" s="24" t="s">
        <v>306</v>
      </c>
      <c r="T36" s="24">
        <v>20170918</v>
      </c>
      <c r="U36" s="24">
        <v>0</v>
      </c>
      <c r="V36" s="24">
        <v>42</v>
      </c>
      <c r="W36" s="24" t="s">
        <v>234</v>
      </c>
      <c r="X36" s="24">
        <v>42</v>
      </c>
      <c r="Y36" s="24" t="s">
        <v>234</v>
      </c>
      <c r="Z36" s="24">
        <v>0</v>
      </c>
      <c r="AA36" s="24"/>
      <c r="AB36" s="24">
        <v>0</v>
      </c>
      <c r="AC36" s="24"/>
      <c r="AD36" s="24">
        <v>42</v>
      </c>
      <c r="AE36" s="24" t="s">
        <v>235</v>
      </c>
      <c r="AF36" s="24">
        <v>42</v>
      </c>
      <c r="AG36" s="24" t="s">
        <v>235</v>
      </c>
      <c r="AH36" s="24">
        <v>55.86</v>
      </c>
      <c r="AI36" s="24" t="s">
        <v>236</v>
      </c>
      <c r="AJ36" s="24">
        <v>559.44000000000005</v>
      </c>
      <c r="AK36" s="24">
        <v>0</v>
      </c>
      <c r="AL36" s="24">
        <v>0</v>
      </c>
      <c r="AM36" s="24" t="s">
        <v>237</v>
      </c>
      <c r="AN36" s="24">
        <v>0</v>
      </c>
      <c r="AO36" s="24"/>
      <c r="AP36" s="24">
        <v>0</v>
      </c>
      <c r="AT36" t="s">
        <v>141</v>
      </c>
      <c r="AU36" s="8"/>
      <c r="AV36" s="8"/>
      <c r="AW36" s="8"/>
      <c r="AX36" s="8"/>
      <c r="AY36" s="8"/>
      <c r="AZ36" s="8">
        <v>12</v>
      </c>
      <c r="BA36" s="8"/>
      <c r="BB36" s="8"/>
      <c r="BC36" s="8"/>
      <c r="BD36" s="8"/>
      <c r="BE36" s="8"/>
    </row>
    <row r="37" spans="2:57" x14ac:dyDescent="0.3">
      <c r="B37" s="24" t="s">
        <v>272</v>
      </c>
      <c r="C37" s="24" t="s">
        <v>300</v>
      </c>
      <c r="D37" s="24">
        <v>100031</v>
      </c>
      <c r="E37" s="24" t="s">
        <v>224</v>
      </c>
      <c r="F37" s="24">
        <v>4500019735</v>
      </c>
      <c r="G37" s="24">
        <v>50</v>
      </c>
      <c r="H37" s="24"/>
      <c r="I37" s="24" t="s">
        <v>301</v>
      </c>
      <c r="J37" s="24" t="s">
        <v>226</v>
      </c>
      <c r="K37" s="24" t="s">
        <v>227</v>
      </c>
      <c r="L37" s="24" t="s">
        <v>239</v>
      </c>
      <c r="M37" s="24" t="s">
        <v>240</v>
      </c>
      <c r="N37" s="24" t="s">
        <v>230</v>
      </c>
      <c r="O37" s="24" t="s">
        <v>147</v>
      </c>
      <c r="P37" s="24" t="s">
        <v>315</v>
      </c>
      <c r="Q37" s="24" t="s">
        <v>316</v>
      </c>
      <c r="R37" s="24">
        <v>20170908</v>
      </c>
      <c r="S37" s="24" t="s">
        <v>306</v>
      </c>
      <c r="T37" s="24">
        <v>20170918</v>
      </c>
      <c r="U37" s="24">
        <v>0</v>
      </c>
      <c r="V37" s="24">
        <v>40</v>
      </c>
      <c r="W37" s="24" t="s">
        <v>234</v>
      </c>
      <c r="X37" s="24">
        <v>40</v>
      </c>
      <c r="Y37" s="24" t="s">
        <v>234</v>
      </c>
      <c r="Z37" s="24">
        <v>0</v>
      </c>
      <c r="AA37" s="24"/>
      <c r="AB37" s="24">
        <v>0</v>
      </c>
      <c r="AC37" s="24"/>
      <c r="AD37" s="24">
        <v>120</v>
      </c>
      <c r="AE37" s="24" t="s">
        <v>235</v>
      </c>
      <c r="AF37" s="24">
        <v>120</v>
      </c>
      <c r="AG37" s="24" t="s">
        <v>235</v>
      </c>
      <c r="AH37" s="24">
        <v>209</v>
      </c>
      <c r="AI37" s="24" t="s">
        <v>236</v>
      </c>
      <c r="AJ37" s="24">
        <v>1445.66</v>
      </c>
      <c r="AK37" s="24">
        <v>0</v>
      </c>
      <c r="AL37" s="24">
        <v>0</v>
      </c>
      <c r="AM37" s="24" t="s">
        <v>237</v>
      </c>
      <c r="AN37" s="24">
        <v>0</v>
      </c>
      <c r="AO37" s="24"/>
      <c r="AP37" s="24">
        <v>0</v>
      </c>
      <c r="AT37" t="s">
        <v>138</v>
      </c>
      <c r="AU37" s="8"/>
      <c r="AV37" s="8"/>
      <c r="AW37" s="8"/>
      <c r="AX37" s="8"/>
      <c r="AY37" s="8"/>
      <c r="AZ37" s="8">
        <v>5795</v>
      </c>
      <c r="BA37" s="8"/>
      <c r="BB37" s="8"/>
      <c r="BC37" s="8"/>
      <c r="BD37" s="8"/>
      <c r="BE37" s="8"/>
    </row>
    <row r="38" spans="2:57" x14ac:dyDescent="0.3">
      <c r="B38" s="24" t="s">
        <v>272</v>
      </c>
      <c r="C38" s="24" t="s">
        <v>300</v>
      </c>
      <c r="D38" s="24">
        <v>100031</v>
      </c>
      <c r="E38" s="24" t="s">
        <v>224</v>
      </c>
      <c r="F38" s="24">
        <v>4500019735</v>
      </c>
      <c r="G38" s="24">
        <v>60</v>
      </c>
      <c r="H38" s="24"/>
      <c r="I38" s="24" t="s">
        <v>301</v>
      </c>
      <c r="J38" s="24" t="s">
        <v>226</v>
      </c>
      <c r="K38" s="24" t="s">
        <v>317</v>
      </c>
      <c r="L38" s="24" t="s">
        <v>318</v>
      </c>
      <c r="M38" s="24" t="s">
        <v>261</v>
      </c>
      <c r="N38" s="24" t="s">
        <v>230</v>
      </c>
      <c r="O38" s="24" t="s">
        <v>148</v>
      </c>
      <c r="P38" s="24" t="s">
        <v>319</v>
      </c>
      <c r="Q38" s="24" t="s">
        <v>320</v>
      </c>
      <c r="R38" s="24">
        <v>20170908</v>
      </c>
      <c r="S38" s="24" t="s">
        <v>306</v>
      </c>
      <c r="T38" s="24">
        <v>20170918</v>
      </c>
      <c r="U38" s="24">
        <v>0</v>
      </c>
      <c r="V38" s="24">
        <v>30</v>
      </c>
      <c r="W38" s="24" t="s">
        <v>234</v>
      </c>
      <c r="X38" s="24">
        <v>30</v>
      </c>
      <c r="Y38" s="24" t="s">
        <v>234</v>
      </c>
      <c r="Z38" s="24">
        <v>0</v>
      </c>
      <c r="AA38" s="24"/>
      <c r="AB38" s="24">
        <v>0</v>
      </c>
      <c r="AC38" s="24"/>
      <c r="AD38" s="24">
        <v>150</v>
      </c>
      <c r="AE38" s="24" t="s">
        <v>235</v>
      </c>
      <c r="AF38" s="24">
        <v>150</v>
      </c>
      <c r="AG38" s="24" t="s">
        <v>235</v>
      </c>
      <c r="AH38" s="24">
        <v>250.8</v>
      </c>
      <c r="AI38" s="24" t="s">
        <v>236</v>
      </c>
      <c r="AJ38" s="24">
        <v>3132.42</v>
      </c>
      <c r="AK38" s="24">
        <v>0</v>
      </c>
      <c r="AL38" s="24">
        <v>0</v>
      </c>
      <c r="AM38" s="24" t="s">
        <v>237</v>
      </c>
      <c r="AN38" s="24">
        <v>0</v>
      </c>
      <c r="AO38" s="24"/>
      <c r="AP38" s="24">
        <v>0</v>
      </c>
      <c r="AS38">
        <v>4500019652</v>
      </c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2:57" x14ac:dyDescent="0.3">
      <c r="B39" s="24" t="s">
        <v>272</v>
      </c>
      <c r="C39" s="24" t="s">
        <v>300</v>
      </c>
      <c r="D39" s="24">
        <v>100031</v>
      </c>
      <c r="E39" s="24" t="s">
        <v>224</v>
      </c>
      <c r="F39" s="24">
        <v>4500019735</v>
      </c>
      <c r="G39" s="24">
        <v>70</v>
      </c>
      <c r="H39" s="24"/>
      <c r="I39" s="24" t="s">
        <v>301</v>
      </c>
      <c r="J39" s="24" t="s">
        <v>226</v>
      </c>
      <c r="K39" s="24" t="s">
        <v>317</v>
      </c>
      <c r="L39" s="24" t="s">
        <v>318</v>
      </c>
      <c r="M39" s="24" t="s">
        <v>261</v>
      </c>
      <c r="N39" s="24" t="s">
        <v>230</v>
      </c>
      <c r="O39" s="24" t="s">
        <v>149</v>
      </c>
      <c r="P39" s="24" t="s">
        <v>321</v>
      </c>
      <c r="Q39" s="24" t="s">
        <v>322</v>
      </c>
      <c r="R39" s="24">
        <v>20170908</v>
      </c>
      <c r="S39" s="24" t="s">
        <v>306</v>
      </c>
      <c r="T39" s="24">
        <v>20170918</v>
      </c>
      <c r="U39" s="24">
        <v>0</v>
      </c>
      <c r="V39" s="24">
        <v>20</v>
      </c>
      <c r="W39" s="24" t="s">
        <v>234</v>
      </c>
      <c r="X39" s="24">
        <v>20</v>
      </c>
      <c r="Y39" s="24" t="s">
        <v>234</v>
      </c>
      <c r="Z39" s="24">
        <v>0</v>
      </c>
      <c r="AA39" s="24"/>
      <c r="AB39" s="24">
        <v>0</v>
      </c>
      <c r="AC39" s="24"/>
      <c r="AD39" s="24">
        <v>100</v>
      </c>
      <c r="AE39" s="24" t="s">
        <v>235</v>
      </c>
      <c r="AF39" s="24">
        <v>100</v>
      </c>
      <c r="AG39" s="24" t="s">
        <v>235</v>
      </c>
      <c r="AH39" s="24">
        <v>167.2</v>
      </c>
      <c r="AI39" s="24" t="s">
        <v>236</v>
      </c>
      <c r="AJ39" s="24">
        <v>1631.7</v>
      </c>
      <c r="AK39" s="24">
        <v>0</v>
      </c>
      <c r="AL39" s="24">
        <v>0</v>
      </c>
      <c r="AM39" s="24" t="s">
        <v>237</v>
      </c>
      <c r="AN39" s="24">
        <v>0</v>
      </c>
      <c r="AO39" s="24"/>
      <c r="AP39" s="24">
        <v>0</v>
      </c>
      <c r="AT39" t="s">
        <v>142</v>
      </c>
      <c r="AU39" s="8"/>
      <c r="AV39" s="8"/>
      <c r="AW39" s="8"/>
      <c r="AX39" s="8"/>
      <c r="AY39" s="8">
        <v>334</v>
      </c>
      <c r="AZ39" s="8"/>
      <c r="BA39" s="8"/>
      <c r="BB39" s="8"/>
      <c r="BC39" s="8"/>
      <c r="BD39" s="8"/>
      <c r="BE39" s="8"/>
    </row>
    <row r="40" spans="2:57" x14ac:dyDescent="0.3">
      <c r="B40" s="24" t="s">
        <v>222</v>
      </c>
      <c r="C40" s="24" t="s">
        <v>246</v>
      </c>
      <c r="D40" s="24">
        <v>100031</v>
      </c>
      <c r="E40" s="24" t="s">
        <v>224</v>
      </c>
      <c r="F40" s="24">
        <v>4500019878</v>
      </c>
      <c r="G40" s="24">
        <v>10</v>
      </c>
      <c r="H40" s="24"/>
      <c r="I40" s="24" t="s">
        <v>247</v>
      </c>
      <c r="J40" s="24" t="s">
        <v>226</v>
      </c>
      <c r="K40" s="24" t="s">
        <v>227</v>
      </c>
      <c r="L40" s="24" t="s">
        <v>239</v>
      </c>
      <c r="M40" s="24" t="s">
        <v>240</v>
      </c>
      <c r="N40" s="24" t="s">
        <v>230</v>
      </c>
      <c r="O40" s="24" t="s">
        <v>127</v>
      </c>
      <c r="P40" s="24" t="s">
        <v>248</v>
      </c>
      <c r="Q40" s="24" t="s">
        <v>249</v>
      </c>
      <c r="R40" s="24">
        <v>20170918</v>
      </c>
      <c r="S40" s="25">
        <v>43026</v>
      </c>
      <c r="T40" s="24">
        <v>20171118</v>
      </c>
      <c r="U40" s="24">
        <v>0</v>
      </c>
      <c r="V40" s="24">
        <v>2061</v>
      </c>
      <c r="W40" s="24" t="s">
        <v>234</v>
      </c>
      <c r="X40" s="24">
        <v>2061</v>
      </c>
      <c r="Y40" s="24" t="s">
        <v>234</v>
      </c>
      <c r="Z40" s="24">
        <v>0</v>
      </c>
      <c r="AA40" s="24"/>
      <c r="AB40" s="24">
        <v>0</v>
      </c>
      <c r="AC40" s="24"/>
      <c r="AD40" s="24">
        <v>6183</v>
      </c>
      <c r="AE40" s="24" t="s">
        <v>235</v>
      </c>
      <c r="AF40" s="24">
        <v>6512.76</v>
      </c>
      <c r="AG40" s="24" t="s">
        <v>235</v>
      </c>
      <c r="AH40" s="24">
        <v>13734.504000000001</v>
      </c>
      <c r="AI40" s="24" t="s">
        <v>236</v>
      </c>
      <c r="AJ40" s="24">
        <v>68905.83</v>
      </c>
      <c r="AK40" s="24">
        <v>0</v>
      </c>
      <c r="AL40" s="24">
        <v>0</v>
      </c>
      <c r="AM40" s="24" t="s">
        <v>237</v>
      </c>
      <c r="AN40" s="24">
        <v>0</v>
      </c>
      <c r="AO40" s="24"/>
      <c r="AP40" s="24">
        <v>0</v>
      </c>
      <c r="AS40">
        <v>4500019735</v>
      </c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2:57" x14ac:dyDescent="0.3">
      <c r="B41" s="24" t="s">
        <v>222</v>
      </c>
      <c r="C41" s="24" t="s">
        <v>246</v>
      </c>
      <c r="D41" s="24">
        <v>100031</v>
      </c>
      <c r="E41" s="24" t="s">
        <v>224</v>
      </c>
      <c r="F41" s="24">
        <v>4500019878</v>
      </c>
      <c r="G41" s="24">
        <v>20</v>
      </c>
      <c r="H41" s="24"/>
      <c r="I41" s="24" t="s">
        <v>247</v>
      </c>
      <c r="J41" s="24" t="s">
        <v>226</v>
      </c>
      <c r="K41" s="24" t="s">
        <v>227</v>
      </c>
      <c r="L41" s="24" t="s">
        <v>239</v>
      </c>
      <c r="M41" s="24" t="s">
        <v>240</v>
      </c>
      <c r="N41" s="24" t="s">
        <v>230</v>
      </c>
      <c r="O41" s="24" t="s">
        <v>150</v>
      </c>
      <c r="P41" s="24" t="s">
        <v>323</v>
      </c>
      <c r="Q41" s="24" t="s">
        <v>324</v>
      </c>
      <c r="R41" s="24">
        <v>20170918</v>
      </c>
      <c r="S41" s="25">
        <v>43026</v>
      </c>
      <c r="T41" s="24">
        <v>20171118</v>
      </c>
      <c r="U41" s="24">
        <v>0</v>
      </c>
      <c r="V41" s="24">
        <v>936</v>
      </c>
      <c r="W41" s="24" t="s">
        <v>234</v>
      </c>
      <c r="X41" s="24">
        <v>936</v>
      </c>
      <c r="Y41" s="24" t="s">
        <v>234</v>
      </c>
      <c r="Z41" s="24">
        <v>0</v>
      </c>
      <c r="AA41" s="24"/>
      <c r="AB41" s="24">
        <v>0</v>
      </c>
      <c r="AC41" s="24"/>
      <c r="AD41" s="24">
        <v>936</v>
      </c>
      <c r="AE41" s="24" t="s">
        <v>235</v>
      </c>
      <c r="AF41" s="24">
        <v>936</v>
      </c>
      <c r="AG41" s="24" t="s">
        <v>235</v>
      </c>
      <c r="AH41" s="24">
        <v>3032.64</v>
      </c>
      <c r="AI41" s="24" t="s">
        <v>236</v>
      </c>
      <c r="AJ41" s="24">
        <v>11807.64</v>
      </c>
      <c r="AK41" s="24">
        <v>0</v>
      </c>
      <c r="AL41" s="24">
        <v>0</v>
      </c>
      <c r="AM41" s="24" t="s">
        <v>237</v>
      </c>
      <c r="AN41" s="24">
        <v>0</v>
      </c>
      <c r="AO41" s="24"/>
      <c r="AP41" s="24">
        <v>0</v>
      </c>
      <c r="AT41" t="s">
        <v>143</v>
      </c>
      <c r="AU41" s="8"/>
      <c r="AV41" s="8"/>
      <c r="AW41" s="8"/>
      <c r="AX41" s="8">
        <v>50</v>
      </c>
      <c r="AY41" s="8"/>
      <c r="AZ41" s="8"/>
      <c r="BA41" s="8"/>
      <c r="BB41" s="8"/>
      <c r="BC41" s="8"/>
      <c r="BD41" s="8"/>
      <c r="BE41" s="8"/>
    </row>
    <row r="42" spans="2:57" x14ac:dyDescent="0.3">
      <c r="B42" s="24" t="s">
        <v>222</v>
      </c>
      <c r="C42" s="24" t="s">
        <v>246</v>
      </c>
      <c r="D42" s="24">
        <v>100031</v>
      </c>
      <c r="E42" s="24" t="s">
        <v>224</v>
      </c>
      <c r="F42" s="24">
        <v>4500019878</v>
      </c>
      <c r="G42" s="24">
        <v>30</v>
      </c>
      <c r="H42" s="24"/>
      <c r="I42" s="24" t="s">
        <v>247</v>
      </c>
      <c r="J42" s="24" t="s">
        <v>226</v>
      </c>
      <c r="K42" s="24" t="s">
        <v>227</v>
      </c>
      <c r="L42" s="24" t="s">
        <v>239</v>
      </c>
      <c r="M42" s="24" t="s">
        <v>240</v>
      </c>
      <c r="N42" s="24" t="s">
        <v>230</v>
      </c>
      <c r="O42" s="24" t="s">
        <v>128</v>
      </c>
      <c r="P42" s="24" t="s">
        <v>251</v>
      </c>
      <c r="Q42" s="24" t="s">
        <v>252</v>
      </c>
      <c r="R42" s="24">
        <v>20170918</v>
      </c>
      <c r="S42" s="25">
        <v>43026</v>
      </c>
      <c r="T42" s="24">
        <v>20171118</v>
      </c>
      <c r="U42" s="24">
        <v>0</v>
      </c>
      <c r="V42" s="24">
        <v>2715</v>
      </c>
      <c r="W42" s="24" t="s">
        <v>234</v>
      </c>
      <c r="X42" s="24">
        <v>2715</v>
      </c>
      <c r="Y42" s="24" t="s">
        <v>234</v>
      </c>
      <c r="Z42" s="24">
        <v>0</v>
      </c>
      <c r="AA42" s="24"/>
      <c r="AB42" s="24">
        <v>0</v>
      </c>
      <c r="AC42" s="24"/>
      <c r="AD42" s="24">
        <v>8145</v>
      </c>
      <c r="AE42" s="24" t="s">
        <v>235</v>
      </c>
      <c r="AF42" s="24">
        <v>8579.4</v>
      </c>
      <c r="AG42" s="24" t="s">
        <v>235</v>
      </c>
      <c r="AH42" s="24">
        <v>18092.759999999998</v>
      </c>
      <c r="AI42" s="24" t="s">
        <v>236</v>
      </c>
      <c r="AJ42" s="24">
        <v>88962.95</v>
      </c>
      <c r="AK42" s="24">
        <v>0</v>
      </c>
      <c r="AL42" s="24">
        <v>0</v>
      </c>
      <c r="AM42" s="24" t="s">
        <v>237</v>
      </c>
      <c r="AN42" s="24">
        <v>0</v>
      </c>
      <c r="AO42" s="24"/>
      <c r="AP42" s="24">
        <v>0</v>
      </c>
      <c r="AT42" t="s">
        <v>144</v>
      </c>
      <c r="AU42" s="8"/>
      <c r="AV42" s="8"/>
      <c r="AW42" s="8"/>
      <c r="AX42" s="8">
        <v>60</v>
      </c>
      <c r="AY42" s="8"/>
      <c r="AZ42" s="8"/>
      <c r="BA42" s="8"/>
      <c r="BB42" s="8"/>
      <c r="BC42" s="8"/>
      <c r="BD42" s="8"/>
      <c r="BE42" s="8"/>
    </row>
    <row r="43" spans="2:57" x14ac:dyDescent="0.3">
      <c r="B43" s="24" t="s">
        <v>222</v>
      </c>
      <c r="C43" s="24" t="s">
        <v>246</v>
      </c>
      <c r="D43" s="24">
        <v>100031</v>
      </c>
      <c r="E43" s="24" t="s">
        <v>224</v>
      </c>
      <c r="F43" s="24">
        <v>4500019878</v>
      </c>
      <c r="G43" s="24">
        <v>40</v>
      </c>
      <c r="H43" s="24"/>
      <c r="I43" s="24" t="s">
        <v>247</v>
      </c>
      <c r="J43" s="24" t="s">
        <v>226</v>
      </c>
      <c r="K43" s="24" t="s">
        <v>227</v>
      </c>
      <c r="L43" s="24" t="s">
        <v>239</v>
      </c>
      <c r="M43" s="24" t="s">
        <v>240</v>
      </c>
      <c r="N43" s="24" t="s">
        <v>230</v>
      </c>
      <c r="O43" s="24" t="s">
        <v>139</v>
      </c>
      <c r="P43" s="24" t="s">
        <v>288</v>
      </c>
      <c r="Q43" s="24" t="s">
        <v>289</v>
      </c>
      <c r="R43" s="24">
        <v>20170918</v>
      </c>
      <c r="S43" s="25">
        <v>43026</v>
      </c>
      <c r="T43" s="24">
        <v>20171118</v>
      </c>
      <c r="U43" s="24">
        <v>0</v>
      </c>
      <c r="V43" s="24">
        <v>990</v>
      </c>
      <c r="W43" s="24" t="s">
        <v>234</v>
      </c>
      <c r="X43" s="24">
        <v>990</v>
      </c>
      <c r="Y43" s="24" t="s">
        <v>234</v>
      </c>
      <c r="Z43" s="24">
        <v>0</v>
      </c>
      <c r="AA43" s="24"/>
      <c r="AB43" s="24">
        <v>0</v>
      </c>
      <c r="AC43" s="24"/>
      <c r="AD43" s="24">
        <v>990</v>
      </c>
      <c r="AE43" s="24" t="s">
        <v>235</v>
      </c>
      <c r="AF43" s="24">
        <v>990</v>
      </c>
      <c r="AG43" s="24" t="s">
        <v>235</v>
      </c>
      <c r="AH43" s="24">
        <v>3207.6</v>
      </c>
      <c r="AI43" s="24" t="s">
        <v>236</v>
      </c>
      <c r="AJ43" s="24">
        <v>12258.68</v>
      </c>
      <c r="AK43" s="24">
        <v>0</v>
      </c>
      <c r="AL43" s="24">
        <v>0</v>
      </c>
      <c r="AM43" s="24" t="s">
        <v>237</v>
      </c>
      <c r="AN43" s="24">
        <v>0</v>
      </c>
      <c r="AO43" s="24"/>
      <c r="AP43" s="24">
        <v>0</v>
      </c>
      <c r="AT43" t="s">
        <v>145</v>
      </c>
      <c r="AU43" s="8"/>
      <c r="AV43" s="8"/>
      <c r="AW43" s="8"/>
      <c r="AX43" s="8">
        <v>2</v>
      </c>
      <c r="AY43" s="8"/>
      <c r="AZ43" s="8"/>
      <c r="BA43" s="8"/>
      <c r="BB43" s="8"/>
      <c r="BC43" s="8"/>
      <c r="BD43" s="8"/>
      <c r="BE43" s="8"/>
    </row>
    <row r="44" spans="2:57" x14ac:dyDescent="0.3">
      <c r="B44" s="24" t="s">
        <v>222</v>
      </c>
      <c r="C44" s="24" t="s">
        <v>246</v>
      </c>
      <c r="D44" s="24">
        <v>100031</v>
      </c>
      <c r="E44" s="24" t="s">
        <v>224</v>
      </c>
      <c r="F44" s="24">
        <v>4500019878</v>
      </c>
      <c r="G44" s="24">
        <v>50</v>
      </c>
      <c r="H44" s="24"/>
      <c r="I44" s="24" t="s">
        <v>247</v>
      </c>
      <c r="J44" s="24" t="s">
        <v>226</v>
      </c>
      <c r="K44" s="24" t="s">
        <v>227</v>
      </c>
      <c r="L44" s="24" t="s">
        <v>239</v>
      </c>
      <c r="M44" s="24" t="s">
        <v>243</v>
      </c>
      <c r="N44" s="24" t="s">
        <v>230</v>
      </c>
      <c r="O44" s="24" t="s">
        <v>136</v>
      </c>
      <c r="P44" s="24" t="s">
        <v>280</v>
      </c>
      <c r="Q44" s="24" t="s">
        <v>281</v>
      </c>
      <c r="R44" s="24">
        <v>20170918</v>
      </c>
      <c r="S44" s="25">
        <v>43026</v>
      </c>
      <c r="T44" s="24">
        <v>20171118</v>
      </c>
      <c r="U44" s="24">
        <v>0</v>
      </c>
      <c r="V44" s="24">
        <v>2280</v>
      </c>
      <c r="W44" s="24" t="s">
        <v>234</v>
      </c>
      <c r="X44" s="24">
        <v>2280</v>
      </c>
      <c r="Y44" s="24" t="s">
        <v>234</v>
      </c>
      <c r="Z44" s="24">
        <v>0</v>
      </c>
      <c r="AA44" s="24"/>
      <c r="AB44" s="24">
        <v>0</v>
      </c>
      <c r="AC44" s="24"/>
      <c r="AD44" s="24">
        <v>6840</v>
      </c>
      <c r="AE44" s="24" t="s">
        <v>235</v>
      </c>
      <c r="AF44" s="24">
        <v>7204.8</v>
      </c>
      <c r="AG44" s="24" t="s">
        <v>235</v>
      </c>
      <c r="AH44" s="24">
        <v>15736.56</v>
      </c>
      <c r="AI44" s="24" t="s">
        <v>236</v>
      </c>
      <c r="AJ44" s="24">
        <v>59473.8</v>
      </c>
      <c r="AK44" s="24">
        <v>0</v>
      </c>
      <c r="AL44" s="24">
        <v>0</v>
      </c>
      <c r="AM44" s="24" t="s">
        <v>237</v>
      </c>
      <c r="AN44" s="24">
        <v>0</v>
      </c>
      <c r="AO44" s="24"/>
      <c r="AP44" s="24">
        <v>0</v>
      </c>
      <c r="AT44" t="s">
        <v>146</v>
      </c>
      <c r="AU44" s="8"/>
      <c r="AV44" s="8"/>
      <c r="AW44" s="8"/>
      <c r="AX44" s="8">
        <v>42</v>
      </c>
      <c r="AY44" s="8"/>
      <c r="AZ44" s="8"/>
      <c r="BA44" s="8"/>
      <c r="BB44" s="8"/>
      <c r="BC44" s="8"/>
      <c r="BD44" s="8"/>
      <c r="BE44" s="8"/>
    </row>
    <row r="45" spans="2:57" x14ac:dyDescent="0.3">
      <c r="B45" s="24" t="s">
        <v>222</v>
      </c>
      <c r="C45" s="24" t="s">
        <v>246</v>
      </c>
      <c r="D45" s="24">
        <v>100031</v>
      </c>
      <c r="E45" s="24" t="s">
        <v>224</v>
      </c>
      <c r="F45" s="24">
        <v>4500019878</v>
      </c>
      <c r="G45" s="24">
        <v>60</v>
      </c>
      <c r="H45" s="24"/>
      <c r="I45" s="24" t="s">
        <v>247</v>
      </c>
      <c r="J45" s="24" t="s">
        <v>226</v>
      </c>
      <c r="K45" s="24" t="s">
        <v>227</v>
      </c>
      <c r="L45" s="24" t="s">
        <v>228</v>
      </c>
      <c r="M45" s="24" t="s">
        <v>229</v>
      </c>
      <c r="N45" s="24" t="s">
        <v>230</v>
      </c>
      <c r="O45" s="24" t="s">
        <v>124</v>
      </c>
      <c r="P45" s="24" t="s">
        <v>231</v>
      </c>
      <c r="Q45" s="24" t="s">
        <v>232</v>
      </c>
      <c r="R45" s="24">
        <v>20170918</v>
      </c>
      <c r="S45" s="25">
        <v>43026</v>
      </c>
      <c r="T45" s="24">
        <v>20171118</v>
      </c>
      <c r="U45" s="24">
        <v>0</v>
      </c>
      <c r="V45" s="24">
        <v>16</v>
      </c>
      <c r="W45" s="24" t="s">
        <v>234</v>
      </c>
      <c r="X45" s="24">
        <v>16</v>
      </c>
      <c r="Y45" s="24" t="s">
        <v>234</v>
      </c>
      <c r="Z45" s="24">
        <v>0</v>
      </c>
      <c r="AA45" s="24"/>
      <c r="AB45" s="24">
        <v>0</v>
      </c>
      <c r="AC45" s="24"/>
      <c r="AD45" s="24">
        <v>48</v>
      </c>
      <c r="AE45" s="24" t="s">
        <v>235</v>
      </c>
      <c r="AF45" s="24">
        <v>50.56</v>
      </c>
      <c r="AG45" s="24" t="s">
        <v>235</v>
      </c>
      <c r="AH45" s="24">
        <v>47.36</v>
      </c>
      <c r="AI45" s="24" t="s">
        <v>236</v>
      </c>
      <c r="AJ45" s="24">
        <v>589.99</v>
      </c>
      <c r="AK45" s="24">
        <v>0</v>
      </c>
      <c r="AL45" s="24">
        <v>0</v>
      </c>
      <c r="AM45" s="24" t="s">
        <v>237</v>
      </c>
      <c r="AN45" s="24">
        <v>0</v>
      </c>
      <c r="AO45" s="24"/>
      <c r="AP45" s="24">
        <v>0</v>
      </c>
      <c r="AT45" t="s">
        <v>147</v>
      </c>
      <c r="AU45" s="8"/>
      <c r="AV45" s="8"/>
      <c r="AW45" s="8"/>
      <c r="AX45" s="8">
        <v>40</v>
      </c>
      <c r="AY45" s="8"/>
      <c r="AZ45" s="8"/>
      <c r="BA45" s="8"/>
      <c r="BB45" s="8"/>
      <c r="BC45" s="8"/>
      <c r="BD45" s="8"/>
      <c r="BE45" s="8"/>
    </row>
    <row r="46" spans="2:57" x14ac:dyDescent="0.3">
      <c r="B46" s="24" t="s">
        <v>222</v>
      </c>
      <c r="C46" s="24" t="s">
        <v>246</v>
      </c>
      <c r="D46" s="24">
        <v>100031</v>
      </c>
      <c r="E46" s="24" t="s">
        <v>224</v>
      </c>
      <c r="F46" s="24">
        <v>4500019878</v>
      </c>
      <c r="G46" s="24">
        <v>70</v>
      </c>
      <c r="H46" s="24"/>
      <c r="I46" s="24" t="s">
        <v>247</v>
      </c>
      <c r="J46" s="24" t="s">
        <v>226</v>
      </c>
      <c r="K46" s="24" t="s">
        <v>227</v>
      </c>
      <c r="L46" s="24" t="s">
        <v>239</v>
      </c>
      <c r="M46" s="24" t="s">
        <v>240</v>
      </c>
      <c r="N46" s="24" t="s">
        <v>230</v>
      </c>
      <c r="O46" s="24" t="s">
        <v>129</v>
      </c>
      <c r="P46" s="24" t="s">
        <v>253</v>
      </c>
      <c r="Q46" s="24" t="s">
        <v>254</v>
      </c>
      <c r="R46" s="24">
        <v>20170918</v>
      </c>
      <c r="S46" s="25">
        <v>43026</v>
      </c>
      <c r="T46" s="24">
        <v>20171118</v>
      </c>
      <c r="U46" s="24">
        <v>0</v>
      </c>
      <c r="V46" s="24">
        <v>3033</v>
      </c>
      <c r="W46" s="24" t="s">
        <v>234</v>
      </c>
      <c r="X46" s="24">
        <v>3033</v>
      </c>
      <c r="Y46" s="24" t="s">
        <v>234</v>
      </c>
      <c r="Z46" s="24">
        <v>0</v>
      </c>
      <c r="AA46" s="24"/>
      <c r="AB46" s="24">
        <v>0</v>
      </c>
      <c r="AC46" s="24"/>
      <c r="AD46" s="24">
        <v>9099</v>
      </c>
      <c r="AE46" s="24" t="s">
        <v>235</v>
      </c>
      <c r="AF46" s="24">
        <v>9584.2800000000007</v>
      </c>
      <c r="AG46" s="24" t="s">
        <v>235</v>
      </c>
      <c r="AH46" s="24">
        <v>21682.917000000001</v>
      </c>
      <c r="AI46" s="24" t="s">
        <v>236</v>
      </c>
      <c r="AJ46" s="24">
        <v>95410.29</v>
      </c>
      <c r="AK46" s="24">
        <v>0</v>
      </c>
      <c r="AL46" s="24">
        <v>0</v>
      </c>
      <c r="AM46" s="24" t="s">
        <v>237</v>
      </c>
      <c r="AN46" s="24">
        <v>0</v>
      </c>
      <c r="AO46" s="24"/>
      <c r="AP46" s="24">
        <v>0</v>
      </c>
      <c r="AT46" t="s">
        <v>148</v>
      </c>
      <c r="AU46" s="8"/>
      <c r="AV46" s="8"/>
      <c r="AW46" s="8"/>
      <c r="AX46" s="8">
        <v>30</v>
      </c>
      <c r="AY46" s="8"/>
      <c r="AZ46" s="8"/>
      <c r="BA46" s="8"/>
      <c r="BB46" s="8"/>
      <c r="BC46" s="8"/>
      <c r="BD46" s="8"/>
      <c r="BE46" s="8"/>
    </row>
    <row r="47" spans="2:57" x14ac:dyDescent="0.3">
      <c r="B47" s="24" t="s">
        <v>222</v>
      </c>
      <c r="C47" s="24" t="s">
        <v>246</v>
      </c>
      <c r="D47" s="24">
        <v>100031</v>
      </c>
      <c r="E47" s="24" t="s">
        <v>224</v>
      </c>
      <c r="F47" s="24">
        <v>4500019878</v>
      </c>
      <c r="G47" s="24">
        <v>80</v>
      </c>
      <c r="H47" s="24"/>
      <c r="I47" s="24" t="s">
        <v>247</v>
      </c>
      <c r="J47" s="24" t="s">
        <v>226</v>
      </c>
      <c r="K47" s="24" t="s">
        <v>227</v>
      </c>
      <c r="L47" s="24" t="s">
        <v>239</v>
      </c>
      <c r="M47" s="24" t="s">
        <v>240</v>
      </c>
      <c r="N47" s="24" t="s">
        <v>230</v>
      </c>
      <c r="O47" s="24" t="s">
        <v>151</v>
      </c>
      <c r="P47" s="24" t="s">
        <v>325</v>
      </c>
      <c r="Q47" s="24" t="s">
        <v>326</v>
      </c>
      <c r="R47" s="24">
        <v>20170918</v>
      </c>
      <c r="S47" s="25">
        <v>43026</v>
      </c>
      <c r="T47" s="24">
        <v>20171118</v>
      </c>
      <c r="U47" s="24">
        <v>0</v>
      </c>
      <c r="V47" s="24">
        <v>396</v>
      </c>
      <c r="W47" s="24" t="s">
        <v>234</v>
      </c>
      <c r="X47" s="24">
        <v>396</v>
      </c>
      <c r="Y47" s="24" t="s">
        <v>234</v>
      </c>
      <c r="Z47" s="24">
        <v>0</v>
      </c>
      <c r="AA47" s="24"/>
      <c r="AB47" s="24">
        <v>0</v>
      </c>
      <c r="AC47" s="24"/>
      <c r="AD47" s="24">
        <v>396</v>
      </c>
      <c r="AE47" s="24" t="s">
        <v>235</v>
      </c>
      <c r="AF47" s="24">
        <v>396</v>
      </c>
      <c r="AG47" s="24" t="s">
        <v>235</v>
      </c>
      <c r="AH47" s="24">
        <v>1283.04</v>
      </c>
      <c r="AI47" s="24" t="s">
        <v>236</v>
      </c>
      <c r="AJ47" s="24">
        <v>4594.59</v>
      </c>
      <c r="AK47" s="24">
        <v>0</v>
      </c>
      <c r="AL47" s="24">
        <v>0</v>
      </c>
      <c r="AM47" s="24" t="s">
        <v>237</v>
      </c>
      <c r="AN47" s="24">
        <v>0</v>
      </c>
      <c r="AO47" s="24"/>
      <c r="AP47" s="24">
        <v>0</v>
      </c>
      <c r="AT47" t="s">
        <v>149</v>
      </c>
      <c r="AU47" s="8"/>
      <c r="AV47" s="8"/>
      <c r="AW47" s="8"/>
      <c r="AX47" s="8">
        <v>20</v>
      </c>
      <c r="AY47" s="8"/>
      <c r="AZ47" s="8"/>
      <c r="BA47" s="8"/>
      <c r="BB47" s="8"/>
      <c r="BC47" s="8"/>
      <c r="BD47" s="8"/>
      <c r="BE47" s="8"/>
    </row>
    <row r="48" spans="2:57" x14ac:dyDescent="0.3">
      <c r="B48" s="24" t="s">
        <v>222</v>
      </c>
      <c r="C48" s="24" t="s">
        <v>246</v>
      </c>
      <c r="D48" s="24">
        <v>100031</v>
      </c>
      <c r="E48" s="24" t="s">
        <v>224</v>
      </c>
      <c r="F48" s="24">
        <v>4500019878</v>
      </c>
      <c r="G48" s="24">
        <v>90</v>
      </c>
      <c r="H48" s="24"/>
      <c r="I48" s="24" t="s">
        <v>247</v>
      </c>
      <c r="J48" s="24" t="s">
        <v>226</v>
      </c>
      <c r="K48" s="24" t="s">
        <v>227</v>
      </c>
      <c r="L48" s="24" t="s">
        <v>239</v>
      </c>
      <c r="M48" s="24" t="s">
        <v>255</v>
      </c>
      <c r="N48" s="24" t="s">
        <v>230</v>
      </c>
      <c r="O48" s="24" t="s">
        <v>130</v>
      </c>
      <c r="P48" s="24" t="s">
        <v>256</v>
      </c>
      <c r="Q48" s="24" t="s">
        <v>257</v>
      </c>
      <c r="R48" s="24">
        <v>20170918</v>
      </c>
      <c r="S48" s="25">
        <v>43026</v>
      </c>
      <c r="T48" s="24">
        <v>20171118</v>
      </c>
      <c r="U48" s="24">
        <v>0</v>
      </c>
      <c r="V48" s="24">
        <v>2976</v>
      </c>
      <c r="W48" s="24" t="s">
        <v>234</v>
      </c>
      <c r="X48" s="24">
        <v>2976</v>
      </c>
      <c r="Y48" s="24" t="s">
        <v>234</v>
      </c>
      <c r="Z48" s="24">
        <v>0</v>
      </c>
      <c r="AA48" s="24"/>
      <c r="AB48" s="24">
        <v>0</v>
      </c>
      <c r="AC48" s="24"/>
      <c r="AD48" s="24">
        <v>8928</v>
      </c>
      <c r="AE48" s="24" t="s">
        <v>235</v>
      </c>
      <c r="AF48" s="24">
        <v>9404.16</v>
      </c>
      <c r="AG48" s="24" t="s">
        <v>235</v>
      </c>
      <c r="AH48" s="24">
        <v>19936.223999999998</v>
      </c>
      <c r="AI48" s="24" t="s">
        <v>236</v>
      </c>
      <c r="AJ48" s="24">
        <v>100290.01</v>
      </c>
      <c r="AK48" s="24">
        <v>0</v>
      </c>
      <c r="AL48" s="24">
        <v>0</v>
      </c>
      <c r="AM48" s="24" t="s">
        <v>237</v>
      </c>
      <c r="AN48" s="24">
        <v>0</v>
      </c>
      <c r="AO48" s="24"/>
      <c r="AP48" s="24">
        <v>0</v>
      </c>
      <c r="AS48" t="s">
        <v>22</v>
      </c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</row>
    <row r="49" spans="2:57" x14ac:dyDescent="0.3">
      <c r="B49" s="24" t="s">
        <v>222</v>
      </c>
      <c r="C49" s="24" t="s">
        <v>246</v>
      </c>
      <c r="D49" s="24">
        <v>100031</v>
      </c>
      <c r="E49" s="24" t="s">
        <v>224</v>
      </c>
      <c r="F49" s="24">
        <v>4500019878</v>
      </c>
      <c r="G49" s="24">
        <v>100</v>
      </c>
      <c r="H49" s="24"/>
      <c r="I49" s="24" t="s">
        <v>247</v>
      </c>
      <c r="J49" s="24" t="s">
        <v>226</v>
      </c>
      <c r="K49" s="24" t="s">
        <v>227</v>
      </c>
      <c r="L49" s="24" t="s">
        <v>239</v>
      </c>
      <c r="M49" s="24" t="s">
        <v>255</v>
      </c>
      <c r="N49" s="24" t="s">
        <v>230</v>
      </c>
      <c r="O49" s="24" t="s">
        <v>152</v>
      </c>
      <c r="P49" s="24" t="s">
        <v>327</v>
      </c>
      <c r="Q49" s="24" t="s">
        <v>328</v>
      </c>
      <c r="R49" s="24">
        <v>20170918</v>
      </c>
      <c r="S49" s="25">
        <v>43026</v>
      </c>
      <c r="T49" s="24">
        <v>20171118</v>
      </c>
      <c r="U49" s="24">
        <v>0</v>
      </c>
      <c r="V49" s="24">
        <v>810</v>
      </c>
      <c r="W49" s="24" t="s">
        <v>234</v>
      </c>
      <c r="X49" s="24">
        <v>810</v>
      </c>
      <c r="Y49" s="24" t="s">
        <v>234</v>
      </c>
      <c r="Z49" s="24">
        <v>0</v>
      </c>
      <c r="AA49" s="24"/>
      <c r="AB49" s="24">
        <v>0</v>
      </c>
      <c r="AC49" s="24"/>
      <c r="AD49" s="24">
        <v>810</v>
      </c>
      <c r="AE49" s="24" t="s">
        <v>235</v>
      </c>
      <c r="AF49" s="24">
        <v>810</v>
      </c>
      <c r="AG49" s="24" t="s">
        <v>235</v>
      </c>
      <c r="AH49" s="24">
        <v>2624.4</v>
      </c>
      <c r="AI49" s="24" t="s">
        <v>236</v>
      </c>
      <c r="AJ49" s="24">
        <v>10442.93</v>
      </c>
      <c r="AK49" s="24">
        <v>0</v>
      </c>
      <c r="AL49" s="24">
        <v>0</v>
      </c>
      <c r="AM49" s="24" t="s">
        <v>237</v>
      </c>
      <c r="AN49" s="24">
        <v>0</v>
      </c>
      <c r="AO49" s="24"/>
      <c r="AP49" s="24">
        <v>0</v>
      </c>
      <c r="AT49" t="s">
        <v>22</v>
      </c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</row>
    <row r="50" spans="2:57" x14ac:dyDescent="0.3">
      <c r="B50" s="24" t="s">
        <v>222</v>
      </c>
      <c r="C50" s="24" t="s">
        <v>246</v>
      </c>
      <c r="D50" s="24">
        <v>100031</v>
      </c>
      <c r="E50" s="24" t="s">
        <v>224</v>
      </c>
      <c r="F50" s="24">
        <v>4500019878</v>
      </c>
      <c r="G50" s="24">
        <v>110</v>
      </c>
      <c r="H50" s="24"/>
      <c r="I50" s="24" t="s">
        <v>247</v>
      </c>
      <c r="J50" s="24" t="s">
        <v>226</v>
      </c>
      <c r="K50" s="24" t="s">
        <v>227</v>
      </c>
      <c r="L50" s="24" t="s">
        <v>228</v>
      </c>
      <c r="M50" s="24" t="s">
        <v>258</v>
      </c>
      <c r="N50" s="24" t="s">
        <v>230</v>
      </c>
      <c r="O50" s="24" t="s">
        <v>131</v>
      </c>
      <c r="P50" s="24" t="s">
        <v>259</v>
      </c>
      <c r="Q50" s="24" t="s">
        <v>260</v>
      </c>
      <c r="R50" s="24">
        <v>20170918</v>
      </c>
      <c r="S50" s="25">
        <v>43026</v>
      </c>
      <c r="T50" s="24">
        <v>20171118</v>
      </c>
      <c r="U50" s="24">
        <v>0</v>
      </c>
      <c r="V50" s="24">
        <v>6174</v>
      </c>
      <c r="W50" s="24" t="s">
        <v>234</v>
      </c>
      <c r="X50" s="24">
        <v>6174</v>
      </c>
      <c r="Y50" s="24" t="s">
        <v>234</v>
      </c>
      <c r="Z50" s="24">
        <v>0</v>
      </c>
      <c r="AA50" s="24"/>
      <c r="AB50" s="24">
        <v>0</v>
      </c>
      <c r="AC50" s="24"/>
      <c r="AD50" s="24">
        <v>18522</v>
      </c>
      <c r="AE50" s="24" t="s">
        <v>235</v>
      </c>
      <c r="AF50" s="24">
        <v>20991.599999999999</v>
      </c>
      <c r="AG50" s="24" t="s">
        <v>235</v>
      </c>
      <c r="AH50" s="24">
        <v>63987.336000000003</v>
      </c>
      <c r="AI50" s="24" t="s">
        <v>236</v>
      </c>
      <c r="AJ50" s="24">
        <v>189557.85</v>
      </c>
      <c r="AK50" s="24">
        <v>0</v>
      </c>
      <c r="AL50" s="24">
        <v>0</v>
      </c>
      <c r="AM50" s="24" t="s">
        <v>237</v>
      </c>
      <c r="AN50" s="24">
        <v>0</v>
      </c>
      <c r="AO50" s="24"/>
      <c r="AP50" s="24">
        <v>0</v>
      </c>
      <c r="AS50">
        <v>4500019878</v>
      </c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</row>
    <row r="51" spans="2:57" x14ac:dyDescent="0.3">
      <c r="B51" s="24" t="s">
        <v>222</v>
      </c>
      <c r="C51" s="24" t="s">
        <v>246</v>
      </c>
      <c r="D51" s="24">
        <v>100031</v>
      </c>
      <c r="E51" s="24" t="s">
        <v>224</v>
      </c>
      <c r="F51" s="24">
        <v>4500019878</v>
      </c>
      <c r="G51" s="24">
        <v>120</v>
      </c>
      <c r="H51" s="24"/>
      <c r="I51" s="24" t="s">
        <v>247</v>
      </c>
      <c r="J51" s="24" t="s">
        <v>226</v>
      </c>
      <c r="K51" s="24" t="s">
        <v>261</v>
      </c>
      <c r="L51" s="24" t="s">
        <v>262</v>
      </c>
      <c r="M51" s="24" t="s">
        <v>263</v>
      </c>
      <c r="N51" s="24" t="s">
        <v>230</v>
      </c>
      <c r="O51" s="24" t="s">
        <v>132</v>
      </c>
      <c r="P51" s="24" t="s">
        <v>264</v>
      </c>
      <c r="Q51" s="24" t="s">
        <v>265</v>
      </c>
      <c r="R51" s="24">
        <v>20170918</v>
      </c>
      <c r="S51" s="25">
        <v>43026</v>
      </c>
      <c r="T51" s="24">
        <v>20171118</v>
      </c>
      <c r="U51" s="24">
        <v>0</v>
      </c>
      <c r="V51" s="24">
        <v>18</v>
      </c>
      <c r="W51" s="24" t="s">
        <v>234</v>
      </c>
      <c r="X51" s="24">
        <v>18</v>
      </c>
      <c r="Y51" s="24" t="s">
        <v>234</v>
      </c>
      <c r="Z51" s="24">
        <v>0</v>
      </c>
      <c r="AA51" s="24"/>
      <c r="AB51" s="24">
        <v>0</v>
      </c>
      <c r="AC51" s="24"/>
      <c r="AD51" s="24">
        <v>90</v>
      </c>
      <c r="AE51" s="24" t="s">
        <v>235</v>
      </c>
      <c r="AF51" s="24">
        <v>94.68</v>
      </c>
      <c r="AG51" s="24" t="s">
        <v>235</v>
      </c>
      <c r="AH51" s="24">
        <v>174.96</v>
      </c>
      <c r="AI51" s="24" t="s">
        <v>236</v>
      </c>
      <c r="AJ51" s="24">
        <v>1274.72</v>
      </c>
      <c r="AK51" s="24">
        <v>0</v>
      </c>
      <c r="AL51" s="24">
        <v>0</v>
      </c>
      <c r="AM51" s="24" t="s">
        <v>237</v>
      </c>
      <c r="AN51" s="24">
        <v>0</v>
      </c>
      <c r="AO51" s="24"/>
      <c r="AP51" s="24">
        <v>0</v>
      </c>
      <c r="AT51" t="s">
        <v>127</v>
      </c>
      <c r="AU51" s="8"/>
      <c r="AV51" s="8"/>
      <c r="AW51" s="8"/>
      <c r="AX51" s="8"/>
      <c r="AY51" s="8"/>
      <c r="AZ51" s="8"/>
      <c r="BA51" s="8"/>
      <c r="BB51" s="8"/>
      <c r="BC51" s="8"/>
      <c r="BD51" s="8">
        <v>2061</v>
      </c>
      <c r="BE51" s="8"/>
    </row>
    <row r="52" spans="2:57" x14ac:dyDescent="0.3">
      <c r="B52" s="24" t="s">
        <v>222</v>
      </c>
      <c r="C52" s="24" t="s">
        <v>246</v>
      </c>
      <c r="D52" s="24">
        <v>100031</v>
      </c>
      <c r="E52" s="24" t="s">
        <v>224</v>
      </c>
      <c r="F52" s="24">
        <v>4500019878</v>
      </c>
      <c r="G52" s="24">
        <v>130</v>
      </c>
      <c r="H52" s="24"/>
      <c r="I52" s="24" t="s">
        <v>247</v>
      </c>
      <c r="J52" s="24" t="s">
        <v>226</v>
      </c>
      <c r="K52" s="24" t="s">
        <v>227</v>
      </c>
      <c r="L52" s="24" t="s">
        <v>302</v>
      </c>
      <c r="M52" s="24" t="s">
        <v>303</v>
      </c>
      <c r="N52" s="24" t="s">
        <v>230</v>
      </c>
      <c r="O52" s="24" t="s">
        <v>153</v>
      </c>
      <c r="P52" s="24" t="s">
        <v>329</v>
      </c>
      <c r="Q52" s="24" t="s">
        <v>330</v>
      </c>
      <c r="R52" s="24">
        <v>20170918</v>
      </c>
      <c r="S52" s="25">
        <v>43026</v>
      </c>
      <c r="T52" s="24">
        <v>20171118</v>
      </c>
      <c r="U52" s="24">
        <v>0</v>
      </c>
      <c r="V52" s="24">
        <v>7</v>
      </c>
      <c r="W52" s="24" t="s">
        <v>234</v>
      </c>
      <c r="X52" s="24">
        <v>7</v>
      </c>
      <c r="Y52" s="24" t="s">
        <v>234</v>
      </c>
      <c r="Z52" s="24">
        <v>0</v>
      </c>
      <c r="AA52" s="24"/>
      <c r="AB52" s="24">
        <v>0</v>
      </c>
      <c r="AC52" s="24"/>
      <c r="AD52" s="24">
        <v>7</v>
      </c>
      <c r="AE52" s="24" t="s">
        <v>235</v>
      </c>
      <c r="AF52" s="24">
        <v>7</v>
      </c>
      <c r="AG52" s="24" t="s">
        <v>235</v>
      </c>
      <c r="AH52" s="24">
        <v>16.940000000000001</v>
      </c>
      <c r="AI52" s="24" t="s">
        <v>236</v>
      </c>
      <c r="AJ52" s="24">
        <v>145.07</v>
      </c>
      <c r="AK52" s="24">
        <v>0</v>
      </c>
      <c r="AL52" s="24">
        <v>0</v>
      </c>
      <c r="AM52" s="24" t="s">
        <v>237</v>
      </c>
      <c r="AN52" s="24">
        <v>0</v>
      </c>
      <c r="AO52" s="24"/>
      <c r="AP52" s="24">
        <v>0</v>
      </c>
      <c r="AT52" t="s">
        <v>150</v>
      </c>
      <c r="AU52" s="8"/>
      <c r="AV52" s="8"/>
      <c r="AW52" s="8"/>
      <c r="AX52" s="8"/>
      <c r="AY52" s="8"/>
      <c r="AZ52" s="8"/>
      <c r="BA52" s="8"/>
      <c r="BB52" s="8"/>
      <c r="BC52" s="8"/>
      <c r="BD52" s="8">
        <v>936</v>
      </c>
      <c r="BE52" s="8"/>
    </row>
    <row r="53" spans="2:57" x14ac:dyDescent="0.3">
      <c r="B53" s="24" t="s">
        <v>222</v>
      </c>
      <c r="C53" s="24" t="s">
        <v>246</v>
      </c>
      <c r="D53" s="24">
        <v>100031</v>
      </c>
      <c r="E53" s="24" t="s">
        <v>224</v>
      </c>
      <c r="F53" s="24">
        <v>4500019878</v>
      </c>
      <c r="G53" s="24">
        <v>140</v>
      </c>
      <c r="H53" s="24"/>
      <c r="I53" s="24" t="s">
        <v>247</v>
      </c>
      <c r="J53" s="24" t="s">
        <v>226</v>
      </c>
      <c r="K53" s="24" t="s">
        <v>290</v>
      </c>
      <c r="L53" s="24" t="s">
        <v>291</v>
      </c>
      <c r="M53" s="24" t="s">
        <v>292</v>
      </c>
      <c r="N53" s="24" t="s">
        <v>230</v>
      </c>
      <c r="O53" s="24" t="s">
        <v>140</v>
      </c>
      <c r="P53" s="24" t="s">
        <v>293</v>
      </c>
      <c r="Q53" s="24" t="s">
        <v>294</v>
      </c>
      <c r="R53" s="24">
        <v>20170918</v>
      </c>
      <c r="S53" s="25">
        <v>43026</v>
      </c>
      <c r="T53" s="24">
        <v>20171118</v>
      </c>
      <c r="U53" s="24">
        <v>0</v>
      </c>
      <c r="V53" s="24">
        <v>290</v>
      </c>
      <c r="W53" s="24" t="s">
        <v>234</v>
      </c>
      <c r="X53" s="24">
        <v>290</v>
      </c>
      <c r="Y53" s="24" t="s">
        <v>234</v>
      </c>
      <c r="Z53" s="24">
        <v>0</v>
      </c>
      <c r="AA53" s="24"/>
      <c r="AB53" s="24">
        <v>0</v>
      </c>
      <c r="AC53" s="24"/>
      <c r="AD53" s="24">
        <v>1450</v>
      </c>
      <c r="AE53" s="24" t="s">
        <v>235</v>
      </c>
      <c r="AF53" s="24">
        <v>1574.41</v>
      </c>
      <c r="AG53" s="24" t="s">
        <v>235</v>
      </c>
      <c r="AH53" s="24">
        <v>5762.88</v>
      </c>
      <c r="AI53" s="24" t="s">
        <v>236</v>
      </c>
      <c r="AJ53" s="24">
        <v>7704.14</v>
      </c>
      <c r="AK53" s="24">
        <v>0</v>
      </c>
      <c r="AL53" s="24">
        <v>0</v>
      </c>
      <c r="AM53" s="24" t="s">
        <v>237</v>
      </c>
      <c r="AN53" s="24">
        <v>0</v>
      </c>
      <c r="AO53" s="24"/>
      <c r="AP53" s="24">
        <v>0</v>
      </c>
      <c r="AT53" t="s">
        <v>128</v>
      </c>
      <c r="AU53" s="8"/>
      <c r="AV53" s="8"/>
      <c r="AW53" s="8"/>
      <c r="AX53" s="8"/>
      <c r="AY53" s="8"/>
      <c r="AZ53" s="8"/>
      <c r="BA53" s="8"/>
      <c r="BB53" s="8"/>
      <c r="BC53" s="8"/>
      <c r="BD53" s="8">
        <v>2715</v>
      </c>
      <c r="BE53" s="8"/>
    </row>
    <row r="54" spans="2:57" x14ac:dyDescent="0.3">
      <c r="B54" s="24" t="s">
        <v>222</v>
      </c>
      <c r="C54" s="24" t="s">
        <v>246</v>
      </c>
      <c r="D54" s="24">
        <v>100031</v>
      </c>
      <c r="E54" s="24" t="s">
        <v>224</v>
      </c>
      <c r="F54" s="24">
        <v>4500019878</v>
      </c>
      <c r="G54" s="24">
        <v>150</v>
      </c>
      <c r="H54" s="24"/>
      <c r="I54" s="24" t="s">
        <v>247</v>
      </c>
      <c r="J54" s="24" t="s">
        <v>226</v>
      </c>
      <c r="K54" s="24" t="s">
        <v>227</v>
      </c>
      <c r="L54" s="24" t="s">
        <v>239</v>
      </c>
      <c r="M54" s="24" t="s">
        <v>240</v>
      </c>
      <c r="N54" s="24" t="s">
        <v>230</v>
      </c>
      <c r="O54" s="24" t="s">
        <v>154</v>
      </c>
      <c r="P54" s="24" t="s">
        <v>331</v>
      </c>
      <c r="Q54" s="24" t="s">
        <v>332</v>
      </c>
      <c r="R54" s="24">
        <v>20170918</v>
      </c>
      <c r="S54" s="25">
        <v>43026</v>
      </c>
      <c r="T54" s="24">
        <v>20171118</v>
      </c>
      <c r="U54" s="24">
        <v>0</v>
      </c>
      <c r="V54" s="24">
        <v>204</v>
      </c>
      <c r="W54" s="24" t="s">
        <v>234</v>
      </c>
      <c r="X54" s="24">
        <v>204</v>
      </c>
      <c r="Y54" s="24" t="s">
        <v>234</v>
      </c>
      <c r="Z54" s="24">
        <v>0</v>
      </c>
      <c r="AA54" s="24"/>
      <c r="AB54" s="24">
        <v>0</v>
      </c>
      <c r="AC54" s="24"/>
      <c r="AD54" s="24">
        <v>612</v>
      </c>
      <c r="AE54" s="24" t="s">
        <v>235</v>
      </c>
      <c r="AF54" s="24">
        <v>644.64</v>
      </c>
      <c r="AG54" s="24" t="s">
        <v>235</v>
      </c>
      <c r="AH54" s="24">
        <v>1066.92</v>
      </c>
      <c r="AI54" s="24" t="s">
        <v>236</v>
      </c>
      <c r="AJ54" s="24">
        <v>6865.66</v>
      </c>
      <c r="AK54" s="24">
        <v>0</v>
      </c>
      <c r="AL54" s="24">
        <v>0</v>
      </c>
      <c r="AM54" s="24" t="s">
        <v>237</v>
      </c>
      <c r="AN54" s="24">
        <v>0</v>
      </c>
      <c r="AO54" s="24"/>
      <c r="AP54" s="24">
        <v>0</v>
      </c>
      <c r="AT54" t="s">
        <v>139</v>
      </c>
      <c r="AU54" s="8"/>
      <c r="AV54" s="8"/>
      <c r="AW54" s="8"/>
      <c r="AX54" s="8"/>
      <c r="AY54" s="8"/>
      <c r="AZ54" s="8"/>
      <c r="BA54" s="8"/>
      <c r="BB54" s="8"/>
      <c r="BC54" s="8"/>
      <c r="BD54" s="8">
        <v>990</v>
      </c>
      <c r="BE54" s="8"/>
    </row>
    <row r="55" spans="2:57" x14ac:dyDescent="0.3">
      <c r="B55" s="24" t="s">
        <v>222</v>
      </c>
      <c r="C55" s="24" t="s">
        <v>246</v>
      </c>
      <c r="D55" s="24">
        <v>100031</v>
      </c>
      <c r="E55" s="24" t="s">
        <v>224</v>
      </c>
      <c r="F55" s="24">
        <v>4500019878</v>
      </c>
      <c r="G55" s="24">
        <v>160</v>
      </c>
      <c r="H55" s="24"/>
      <c r="I55" s="24" t="s">
        <v>247</v>
      </c>
      <c r="J55" s="24" t="s">
        <v>226</v>
      </c>
      <c r="K55" s="24" t="s">
        <v>227</v>
      </c>
      <c r="L55" s="24" t="s">
        <v>239</v>
      </c>
      <c r="M55" s="24" t="s">
        <v>240</v>
      </c>
      <c r="N55" s="24" t="s">
        <v>230</v>
      </c>
      <c r="O55" s="24" t="s">
        <v>155</v>
      </c>
      <c r="P55" s="24" t="s">
        <v>333</v>
      </c>
      <c r="Q55" s="24" t="s">
        <v>334</v>
      </c>
      <c r="R55" s="24">
        <v>20170918</v>
      </c>
      <c r="S55" s="25">
        <v>43026</v>
      </c>
      <c r="T55" s="24">
        <v>20171118</v>
      </c>
      <c r="U55" s="24">
        <v>0</v>
      </c>
      <c r="V55" s="24">
        <v>57</v>
      </c>
      <c r="W55" s="24" t="s">
        <v>234</v>
      </c>
      <c r="X55" s="24">
        <v>57</v>
      </c>
      <c r="Y55" s="24" t="s">
        <v>234</v>
      </c>
      <c r="Z55" s="24">
        <v>0</v>
      </c>
      <c r="AA55" s="24"/>
      <c r="AB55" s="24">
        <v>0</v>
      </c>
      <c r="AC55" s="24"/>
      <c r="AD55" s="24">
        <v>171</v>
      </c>
      <c r="AE55" s="24" t="s">
        <v>235</v>
      </c>
      <c r="AF55" s="24">
        <v>180.12</v>
      </c>
      <c r="AG55" s="24" t="s">
        <v>235</v>
      </c>
      <c r="AH55" s="24">
        <v>404.98500000000001</v>
      </c>
      <c r="AI55" s="24" t="s">
        <v>236</v>
      </c>
      <c r="AJ55" s="24">
        <v>1651.35</v>
      </c>
      <c r="AK55" s="24">
        <v>0</v>
      </c>
      <c r="AL55" s="24">
        <v>0</v>
      </c>
      <c r="AM55" s="24" t="s">
        <v>237</v>
      </c>
      <c r="AN55" s="24">
        <v>0</v>
      </c>
      <c r="AO55" s="24"/>
      <c r="AP55" s="24">
        <v>0</v>
      </c>
      <c r="AT55" t="s">
        <v>136</v>
      </c>
      <c r="AU55" s="8"/>
      <c r="AV55" s="8"/>
      <c r="AW55" s="8"/>
      <c r="AX55" s="8"/>
      <c r="AY55" s="8"/>
      <c r="AZ55" s="8"/>
      <c r="BA55" s="8"/>
      <c r="BB55" s="8"/>
      <c r="BC55" s="8"/>
      <c r="BD55" s="8">
        <v>2280</v>
      </c>
      <c r="BE55" s="8"/>
    </row>
    <row r="56" spans="2:57" x14ac:dyDescent="0.3">
      <c r="B56" s="24" t="s">
        <v>222</v>
      </c>
      <c r="C56" s="24" t="s">
        <v>246</v>
      </c>
      <c r="D56" s="24">
        <v>100031</v>
      </c>
      <c r="E56" s="24" t="s">
        <v>224</v>
      </c>
      <c r="F56" s="24">
        <v>4500019878</v>
      </c>
      <c r="G56" s="24">
        <v>170</v>
      </c>
      <c r="H56" s="24"/>
      <c r="I56" s="24" t="s">
        <v>247</v>
      </c>
      <c r="J56" s="24" t="s">
        <v>226</v>
      </c>
      <c r="K56" s="24" t="s">
        <v>227</v>
      </c>
      <c r="L56" s="24" t="s">
        <v>239</v>
      </c>
      <c r="M56" s="24" t="s">
        <v>243</v>
      </c>
      <c r="N56" s="24" t="s">
        <v>230</v>
      </c>
      <c r="O56" s="24" t="s">
        <v>126</v>
      </c>
      <c r="P56" s="24" t="s">
        <v>244</v>
      </c>
      <c r="Q56" s="24" t="s">
        <v>245</v>
      </c>
      <c r="R56" s="24">
        <v>20170918</v>
      </c>
      <c r="S56" s="25">
        <v>43026</v>
      </c>
      <c r="T56" s="24">
        <v>20171118</v>
      </c>
      <c r="U56" s="24">
        <v>0</v>
      </c>
      <c r="V56" s="24">
        <v>210</v>
      </c>
      <c r="W56" s="24" t="s">
        <v>234</v>
      </c>
      <c r="X56" s="24">
        <v>210</v>
      </c>
      <c r="Y56" s="24" t="s">
        <v>234</v>
      </c>
      <c r="Z56" s="24">
        <v>0</v>
      </c>
      <c r="AA56" s="24"/>
      <c r="AB56" s="24">
        <v>0</v>
      </c>
      <c r="AC56" s="24"/>
      <c r="AD56" s="24">
        <v>630</v>
      </c>
      <c r="AE56" s="24" t="s">
        <v>235</v>
      </c>
      <c r="AF56" s="24">
        <v>640.5</v>
      </c>
      <c r="AG56" s="24" t="s">
        <v>235</v>
      </c>
      <c r="AH56" s="24">
        <v>1406.79</v>
      </c>
      <c r="AI56" s="24" t="s">
        <v>236</v>
      </c>
      <c r="AJ56" s="24">
        <v>5752.91</v>
      </c>
      <c r="AK56" s="24">
        <v>0</v>
      </c>
      <c r="AL56" s="24">
        <v>0</v>
      </c>
      <c r="AM56" s="24" t="s">
        <v>237</v>
      </c>
      <c r="AN56" s="24">
        <v>0</v>
      </c>
      <c r="AO56" s="24"/>
      <c r="AP56" s="24">
        <v>0</v>
      </c>
      <c r="AT56" t="s">
        <v>124</v>
      </c>
      <c r="AU56" s="8"/>
      <c r="AV56" s="8"/>
      <c r="AW56" s="8"/>
      <c r="AX56" s="8"/>
      <c r="AY56" s="8"/>
      <c r="AZ56" s="8"/>
      <c r="BA56" s="8"/>
      <c r="BB56" s="8"/>
      <c r="BC56" s="8"/>
      <c r="BD56" s="8">
        <v>16</v>
      </c>
      <c r="BE56" s="8"/>
    </row>
    <row r="57" spans="2:57" x14ac:dyDescent="0.3">
      <c r="B57" s="24" t="s">
        <v>222</v>
      </c>
      <c r="C57" s="24" t="s">
        <v>246</v>
      </c>
      <c r="D57" s="24">
        <v>100031</v>
      </c>
      <c r="E57" s="24" t="s">
        <v>224</v>
      </c>
      <c r="F57" s="24">
        <v>4500019878</v>
      </c>
      <c r="G57" s="24">
        <v>180</v>
      </c>
      <c r="H57" s="24"/>
      <c r="I57" s="24" t="s">
        <v>247</v>
      </c>
      <c r="J57" s="24" t="s">
        <v>226</v>
      </c>
      <c r="K57" s="24" t="s">
        <v>227</v>
      </c>
      <c r="L57" s="24" t="s">
        <v>266</v>
      </c>
      <c r="M57" s="24" t="s">
        <v>267</v>
      </c>
      <c r="N57" s="24" t="s">
        <v>230</v>
      </c>
      <c r="O57" s="24" t="s">
        <v>156</v>
      </c>
      <c r="P57" s="24" t="s">
        <v>335</v>
      </c>
      <c r="Q57" s="24" t="s">
        <v>336</v>
      </c>
      <c r="R57" s="24">
        <v>20170918</v>
      </c>
      <c r="S57" s="25">
        <v>43026</v>
      </c>
      <c r="T57" s="24">
        <v>20171118</v>
      </c>
      <c r="U57" s="24">
        <v>0</v>
      </c>
      <c r="V57" s="24">
        <v>48</v>
      </c>
      <c r="W57" s="24" t="s">
        <v>234</v>
      </c>
      <c r="X57" s="24">
        <v>48</v>
      </c>
      <c r="Y57" s="24" t="s">
        <v>234</v>
      </c>
      <c r="Z57" s="24">
        <v>0</v>
      </c>
      <c r="AA57" s="24"/>
      <c r="AB57" s="24">
        <v>0</v>
      </c>
      <c r="AC57" s="24"/>
      <c r="AD57" s="24">
        <v>192</v>
      </c>
      <c r="AE57" s="24" t="s">
        <v>235</v>
      </c>
      <c r="AF57" s="24">
        <v>281.27999999999997</v>
      </c>
      <c r="AG57" s="24" t="s">
        <v>235</v>
      </c>
      <c r="AH57" s="24">
        <v>321.55200000000002</v>
      </c>
      <c r="AI57" s="24" t="s">
        <v>236</v>
      </c>
      <c r="AJ57" s="24">
        <v>1498.94</v>
      </c>
      <c r="AK57" s="24">
        <v>0</v>
      </c>
      <c r="AL57" s="24">
        <v>0</v>
      </c>
      <c r="AM57" s="24" t="s">
        <v>237</v>
      </c>
      <c r="AN57" s="24">
        <v>0</v>
      </c>
      <c r="AO57" s="24"/>
      <c r="AP57" s="24">
        <v>0</v>
      </c>
      <c r="AT57" t="s">
        <v>129</v>
      </c>
      <c r="AU57" s="8"/>
      <c r="AV57" s="8"/>
      <c r="AW57" s="8"/>
      <c r="AX57" s="8"/>
      <c r="AY57" s="8"/>
      <c r="AZ57" s="8"/>
      <c r="BA57" s="8"/>
      <c r="BB57" s="8"/>
      <c r="BC57" s="8"/>
      <c r="BD57" s="8">
        <v>3033</v>
      </c>
      <c r="BE57" s="8"/>
    </row>
    <row r="58" spans="2:57" x14ac:dyDescent="0.3">
      <c r="B58" s="24" t="s">
        <v>222</v>
      </c>
      <c r="C58" s="24" t="s">
        <v>246</v>
      </c>
      <c r="D58" s="24">
        <v>100031</v>
      </c>
      <c r="E58" s="24" t="s">
        <v>224</v>
      </c>
      <c r="F58" s="24">
        <v>4500019878</v>
      </c>
      <c r="G58" s="24">
        <v>190</v>
      </c>
      <c r="H58" s="24"/>
      <c r="I58" s="24" t="s">
        <v>247</v>
      </c>
      <c r="J58" s="24" t="s">
        <v>226</v>
      </c>
      <c r="K58" s="24" t="s">
        <v>227</v>
      </c>
      <c r="L58" s="24" t="s">
        <v>239</v>
      </c>
      <c r="M58" s="24" t="s">
        <v>240</v>
      </c>
      <c r="N58" s="24" t="s">
        <v>230</v>
      </c>
      <c r="O58" s="24" t="s">
        <v>157</v>
      </c>
      <c r="P58" s="24" t="s">
        <v>337</v>
      </c>
      <c r="Q58" s="24" t="s">
        <v>338</v>
      </c>
      <c r="R58" s="24">
        <v>20170918</v>
      </c>
      <c r="S58" s="25">
        <v>43026</v>
      </c>
      <c r="T58" s="24">
        <v>20171118</v>
      </c>
      <c r="U58" s="24">
        <v>0</v>
      </c>
      <c r="V58" s="24">
        <v>153</v>
      </c>
      <c r="W58" s="24" t="s">
        <v>234</v>
      </c>
      <c r="X58" s="24">
        <v>153</v>
      </c>
      <c r="Y58" s="24" t="s">
        <v>234</v>
      </c>
      <c r="Z58" s="24">
        <v>0</v>
      </c>
      <c r="AA58" s="24"/>
      <c r="AB58" s="24">
        <v>0</v>
      </c>
      <c r="AC58" s="24"/>
      <c r="AD58" s="24">
        <v>459</v>
      </c>
      <c r="AE58" s="24" t="s">
        <v>235</v>
      </c>
      <c r="AF58" s="24">
        <v>485.01</v>
      </c>
      <c r="AG58" s="24" t="s">
        <v>235</v>
      </c>
      <c r="AH58" s="24">
        <v>1019.592</v>
      </c>
      <c r="AI58" s="24" t="s">
        <v>236</v>
      </c>
      <c r="AJ58" s="24">
        <v>6005.19</v>
      </c>
      <c r="AK58" s="24">
        <v>0</v>
      </c>
      <c r="AL58" s="24">
        <v>0</v>
      </c>
      <c r="AM58" s="24" t="s">
        <v>237</v>
      </c>
      <c r="AN58" s="24">
        <v>0</v>
      </c>
      <c r="AO58" s="24"/>
      <c r="AP58" s="24">
        <v>0</v>
      </c>
      <c r="AT58" t="s">
        <v>130</v>
      </c>
      <c r="AU58" s="8"/>
      <c r="AV58" s="8"/>
      <c r="AW58" s="8"/>
      <c r="AX58" s="8"/>
      <c r="AY58" s="8"/>
      <c r="AZ58" s="8"/>
      <c r="BA58" s="8"/>
      <c r="BB58" s="8"/>
      <c r="BC58" s="8"/>
      <c r="BD58" s="8">
        <v>2976</v>
      </c>
      <c r="BE58" s="8"/>
    </row>
    <row r="59" spans="2:57" x14ac:dyDescent="0.3">
      <c r="B59" s="24" t="s">
        <v>222</v>
      </c>
      <c r="C59" s="24" t="s">
        <v>246</v>
      </c>
      <c r="D59" s="24">
        <v>100031</v>
      </c>
      <c r="E59" s="24" t="s">
        <v>224</v>
      </c>
      <c r="F59" s="24">
        <v>4500019878</v>
      </c>
      <c r="G59" s="24">
        <v>200</v>
      </c>
      <c r="H59" s="24"/>
      <c r="I59" s="24" t="s">
        <v>247</v>
      </c>
      <c r="J59" s="24" t="s">
        <v>226</v>
      </c>
      <c r="K59" s="24" t="s">
        <v>227</v>
      </c>
      <c r="L59" s="24" t="s">
        <v>266</v>
      </c>
      <c r="M59" s="24" t="s">
        <v>267</v>
      </c>
      <c r="N59" s="24" t="s">
        <v>230</v>
      </c>
      <c r="O59" s="24" t="s">
        <v>133</v>
      </c>
      <c r="P59" s="24" t="s">
        <v>268</v>
      </c>
      <c r="Q59" s="24" t="s">
        <v>269</v>
      </c>
      <c r="R59" s="24">
        <v>20170918</v>
      </c>
      <c r="S59" s="25">
        <v>43026</v>
      </c>
      <c r="T59" s="24">
        <v>20171118</v>
      </c>
      <c r="U59" s="24">
        <v>0</v>
      </c>
      <c r="V59" s="24">
        <v>1293</v>
      </c>
      <c r="W59" s="24" t="s">
        <v>234</v>
      </c>
      <c r="X59" s="24">
        <v>1293</v>
      </c>
      <c r="Y59" s="24" t="s">
        <v>234</v>
      </c>
      <c r="Z59" s="24">
        <v>0</v>
      </c>
      <c r="AA59" s="24"/>
      <c r="AB59" s="24">
        <v>0</v>
      </c>
      <c r="AC59" s="24"/>
      <c r="AD59" s="24">
        <v>3879</v>
      </c>
      <c r="AE59" s="24" t="s">
        <v>235</v>
      </c>
      <c r="AF59" s="24">
        <v>4266.8999999999996</v>
      </c>
      <c r="AG59" s="24" t="s">
        <v>235</v>
      </c>
      <c r="AH59" s="24">
        <v>8616.5519999999997</v>
      </c>
      <c r="AI59" s="24" t="s">
        <v>236</v>
      </c>
      <c r="AJ59" s="24">
        <v>39440.120000000003</v>
      </c>
      <c r="AK59" s="24">
        <v>0</v>
      </c>
      <c r="AL59" s="24">
        <v>0</v>
      </c>
      <c r="AM59" s="24" t="s">
        <v>237</v>
      </c>
      <c r="AN59" s="24">
        <v>0</v>
      </c>
      <c r="AO59" s="24"/>
      <c r="AP59" s="24">
        <v>0</v>
      </c>
      <c r="AT59" t="s">
        <v>131</v>
      </c>
      <c r="AU59" s="8"/>
      <c r="AV59" s="8"/>
      <c r="AW59" s="8"/>
      <c r="AX59" s="8"/>
      <c r="AY59" s="8"/>
      <c r="AZ59" s="8"/>
      <c r="BA59" s="8"/>
      <c r="BB59" s="8"/>
      <c r="BC59" s="8"/>
      <c r="BD59" s="8">
        <v>6174</v>
      </c>
      <c r="BE59" s="8"/>
    </row>
    <row r="60" spans="2:57" x14ac:dyDescent="0.3">
      <c r="B60" s="24" t="s">
        <v>222</v>
      </c>
      <c r="C60" s="24" t="s">
        <v>246</v>
      </c>
      <c r="D60" s="24">
        <v>100031</v>
      </c>
      <c r="E60" s="24" t="s">
        <v>224</v>
      </c>
      <c r="F60" s="24">
        <v>4500019878</v>
      </c>
      <c r="G60" s="24">
        <v>210</v>
      </c>
      <c r="H60" s="24"/>
      <c r="I60" s="24" t="s">
        <v>247</v>
      </c>
      <c r="J60" s="24" t="s">
        <v>226</v>
      </c>
      <c r="K60" s="24" t="s">
        <v>227</v>
      </c>
      <c r="L60" s="24" t="s">
        <v>239</v>
      </c>
      <c r="M60" s="24" t="s">
        <v>240</v>
      </c>
      <c r="N60" s="24" t="s">
        <v>230</v>
      </c>
      <c r="O60" s="24" t="s">
        <v>158</v>
      </c>
      <c r="P60" s="24" t="s">
        <v>339</v>
      </c>
      <c r="Q60" s="24" t="s">
        <v>340</v>
      </c>
      <c r="R60" s="24">
        <v>20170918</v>
      </c>
      <c r="S60" s="25">
        <v>43026</v>
      </c>
      <c r="T60" s="24">
        <v>20171118</v>
      </c>
      <c r="U60" s="24">
        <v>0</v>
      </c>
      <c r="V60" s="24">
        <v>159</v>
      </c>
      <c r="W60" s="24" t="s">
        <v>234</v>
      </c>
      <c r="X60" s="24">
        <v>159</v>
      </c>
      <c r="Y60" s="24" t="s">
        <v>234</v>
      </c>
      <c r="Z60" s="24">
        <v>0</v>
      </c>
      <c r="AA60" s="24"/>
      <c r="AB60" s="24">
        <v>0</v>
      </c>
      <c r="AC60" s="24"/>
      <c r="AD60" s="24">
        <v>477</v>
      </c>
      <c r="AE60" s="24" t="s">
        <v>235</v>
      </c>
      <c r="AF60" s="24">
        <v>502.44</v>
      </c>
      <c r="AG60" s="24" t="s">
        <v>235</v>
      </c>
      <c r="AH60" s="24">
        <v>1059.576</v>
      </c>
      <c r="AI60" s="24" t="s">
        <v>236</v>
      </c>
      <c r="AJ60" s="24">
        <v>5202.93</v>
      </c>
      <c r="AK60" s="24">
        <v>0</v>
      </c>
      <c r="AL60" s="24">
        <v>0</v>
      </c>
      <c r="AM60" s="24" t="s">
        <v>237</v>
      </c>
      <c r="AN60" s="24">
        <v>0</v>
      </c>
      <c r="AO60" s="24"/>
      <c r="AP60" s="24">
        <v>0</v>
      </c>
      <c r="AT60" t="s">
        <v>132</v>
      </c>
      <c r="AU60" s="8"/>
      <c r="AV60" s="8"/>
      <c r="AW60" s="8"/>
      <c r="AX60" s="8"/>
      <c r="AY60" s="8"/>
      <c r="AZ60" s="8"/>
      <c r="BA60" s="8"/>
      <c r="BB60" s="8"/>
      <c r="BC60" s="8"/>
      <c r="BD60" s="8">
        <v>18</v>
      </c>
      <c r="BE60" s="8"/>
    </row>
    <row r="61" spans="2:57" x14ac:dyDescent="0.3">
      <c r="B61" s="24" t="s">
        <v>222</v>
      </c>
      <c r="C61" s="24" t="s">
        <v>246</v>
      </c>
      <c r="D61" s="24">
        <v>100031</v>
      </c>
      <c r="E61" s="24" t="s">
        <v>224</v>
      </c>
      <c r="F61" s="24">
        <v>4500019878</v>
      </c>
      <c r="G61" s="24">
        <v>220</v>
      </c>
      <c r="H61" s="24"/>
      <c r="I61" s="24" t="s">
        <v>247</v>
      </c>
      <c r="J61" s="24" t="s">
        <v>226</v>
      </c>
      <c r="K61" s="24" t="s">
        <v>227</v>
      </c>
      <c r="L61" s="24" t="s">
        <v>239</v>
      </c>
      <c r="M61" s="24" t="s">
        <v>240</v>
      </c>
      <c r="N61" s="24" t="s">
        <v>230</v>
      </c>
      <c r="O61" s="24" t="s">
        <v>159</v>
      </c>
      <c r="P61" s="24" t="s">
        <v>341</v>
      </c>
      <c r="Q61" s="24" t="s">
        <v>342</v>
      </c>
      <c r="R61" s="24">
        <v>20170918</v>
      </c>
      <c r="S61" s="25">
        <v>43026</v>
      </c>
      <c r="T61" s="24">
        <v>20171118</v>
      </c>
      <c r="U61" s="24">
        <v>0</v>
      </c>
      <c r="V61" s="24">
        <v>117</v>
      </c>
      <c r="W61" s="24" t="s">
        <v>234</v>
      </c>
      <c r="X61" s="24">
        <v>117</v>
      </c>
      <c r="Y61" s="24" t="s">
        <v>234</v>
      </c>
      <c r="Z61" s="24">
        <v>0</v>
      </c>
      <c r="AA61" s="24"/>
      <c r="AB61" s="24">
        <v>0</v>
      </c>
      <c r="AC61" s="24"/>
      <c r="AD61" s="24">
        <v>351</v>
      </c>
      <c r="AE61" s="24" t="s">
        <v>235</v>
      </c>
      <c r="AF61" s="24">
        <v>386.1</v>
      </c>
      <c r="AG61" s="24" t="s">
        <v>235</v>
      </c>
      <c r="AH61" s="24">
        <v>779.68799999999999</v>
      </c>
      <c r="AI61" s="24" t="s">
        <v>236</v>
      </c>
      <c r="AJ61" s="24">
        <v>3667.53</v>
      </c>
      <c r="AK61" s="24">
        <v>0</v>
      </c>
      <c r="AL61" s="24">
        <v>0</v>
      </c>
      <c r="AM61" s="24" t="s">
        <v>237</v>
      </c>
      <c r="AN61" s="24">
        <v>0</v>
      </c>
      <c r="AO61" s="24"/>
      <c r="AP61" s="24">
        <v>0</v>
      </c>
      <c r="AT61" t="s">
        <v>140</v>
      </c>
      <c r="AU61" s="8"/>
      <c r="AV61" s="8"/>
      <c r="AW61" s="8"/>
      <c r="AX61" s="8"/>
      <c r="AY61" s="8"/>
      <c r="AZ61" s="8"/>
      <c r="BA61" s="8"/>
      <c r="BB61" s="8"/>
      <c r="BC61" s="8"/>
      <c r="BD61" s="8">
        <v>290</v>
      </c>
      <c r="BE61" s="8"/>
    </row>
    <row r="62" spans="2:57" x14ac:dyDescent="0.3">
      <c r="B62" s="24" t="s">
        <v>222</v>
      </c>
      <c r="C62" s="24" t="s">
        <v>246</v>
      </c>
      <c r="D62" s="24">
        <v>100031</v>
      </c>
      <c r="E62" s="24" t="s">
        <v>224</v>
      </c>
      <c r="F62" s="24">
        <v>4500019878</v>
      </c>
      <c r="G62" s="24">
        <v>230</v>
      </c>
      <c r="H62" s="24"/>
      <c r="I62" s="24" t="s">
        <v>247</v>
      </c>
      <c r="J62" s="24" t="s">
        <v>226</v>
      </c>
      <c r="K62" s="24" t="s">
        <v>227</v>
      </c>
      <c r="L62" s="24" t="s">
        <v>302</v>
      </c>
      <c r="M62" s="24" t="s">
        <v>303</v>
      </c>
      <c r="N62" s="24" t="s">
        <v>230</v>
      </c>
      <c r="O62" s="24" t="s">
        <v>160</v>
      </c>
      <c r="P62" s="24" t="s">
        <v>343</v>
      </c>
      <c r="Q62" s="24" t="s">
        <v>344</v>
      </c>
      <c r="R62" s="24">
        <v>20170918</v>
      </c>
      <c r="S62" s="25">
        <v>43026</v>
      </c>
      <c r="T62" s="24">
        <v>20171118</v>
      </c>
      <c r="U62" s="24">
        <v>0</v>
      </c>
      <c r="V62" s="24">
        <v>22</v>
      </c>
      <c r="W62" s="24" t="s">
        <v>234</v>
      </c>
      <c r="X62" s="24">
        <v>22</v>
      </c>
      <c r="Y62" s="24" t="s">
        <v>234</v>
      </c>
      <c r="Z62" s="24">
        <v>0</v>
      </c>
      <c r="AA62" s="24"/>
      <c r="AB62" s="24">
        <v>0</v>
      </c>
      <c r="AC62" s="24"/>
      <c r="AD62" s="24">
        <v>22</v>
      </c>
      <c r="AE62" s="24" t="s">
        <v>235</v>
      </c>
      <c r="AF62" s="24">
        <v>26.707999999999998</v>
      </c>
      <c r="AG62" s="24" t="s">
        <v>235</v>
      </c>
      <c r="AH62" s="24">
        <v>512.072</v>
      </c>
      <c r="AI62" s="24" t="s">
        <v>236</v>
      </c>
      <c r="AJ62" s="24">
        <v>455.94</v>
      </c>
      <c r="AK62" s="24">
        <v>0</v>
      </c>
      <c r="AL62" s="24">
        <v>0</v>
      </c>
      <c r="AM62" s="24" t="s">
        <v>237</v>
      </c>
      <c r="AN62" s="24">
        <v>0</v>
      </c>
      <c r="AO62" s="24"/>
      <c r="AP62" s="24">
        <v>0</v>
      </c>
      <c r="AT62" t="s">
        <v>154</v>
      </c>
      <c r="AU62" s="8"/>
      <c r="AV62" s="8"/>
      <c r="AW62" s="8"/>
      <c r="AX62" s="8"/>
      <c r="AY62" s="8"/>
      <c r="AZ62" s="8"/>
      <c r="BA62" s="8"/>
      <c r="BB62" s="8"/>
      <c r="BC62" s="8"/>
      <c r="BD62" s="8">
        <v>204</v>
      </c>
      <c r="BE62" s="8"/>
    </row>
    <row r="63" spans="2:57" x14ac:dyDescent="0.3">
      <c r="B63" s="24" t="s">
        <v>222</v>
      </c>
      <c r="C63" s="24" t="s">
        <v>246</v>
      </c>
      <c r="D63" s="24">
        <v>100031</v>
      </c>
      <c r="E63" s="24" t="s">
        <v>224</v>
      </c>
      <c r="F63" s="24">
        <v>4500019878</v>
      </c>
      <c r="G63" s="24">
        <v>240</v>
      </c>
      <c r="H63" s="24"/>
      <c r="I63" s="24" t="s">
        <v>247</v>
      </c>
      <c r="J63" s="24" t="s">
        <v>226</v>
      </c>
      <c r="K63" s="24" t="s">
        <v>227</v>
      </c>
      <c r="L63" s="24" t="s">
        <v>239</v>
      </c>
      <c r="M63" s="24" t="s">
        <v>255</v>
      </c>
      <c r="N63" s="24" t="s">
        <v>230</v>
      </c>
      <c r="O63" s="24" t="s">
        <v>141</v>
      </c>
      <c r="P63" s="24" t="s">
        <v>295</v>
      </c>
      <c r="Q63" s="24" t="s">
        <v>296</v>
      </c>
      <c r="R63" s="24">
        <v>20170918</v>
      </c>
      <c r="S63" s="25">
        <v>43026</v>
      </c>
      <c r="T63" s="24">
        <v>20171118</v>
      </c>
      <c r="U63" s="24">
        <v>0</v>
      </c>
      <c r="V63" s="24">
        <v>42</v>
      </c>
      <c r="W63" s="24" t="s">
        <v>234</v>
      </c>
      <c r="X63" s="24">
        <v>42</v>
      </c>
      <c r="Y63" s="24" t="s">
        <v>234</v>
      </c>
      <c r="Z63" s="24">
        <v>0</v>
      </c>
      <c r="AA63" s="24"/>
      <c r="AB63" s="24">
        <v>0</v>
      </c>
      <c r="AC63" s="24"/>
      <c r="AD63" s="24">
        <v>126</v>
      </c>
      <c r="AE63" s="24" t="s">
        <v>235</v>
      </c>
      <c r="AF63" s="24">
        <v>127.134</v>
      </c>
      <c r="AG63" s="24" t="s">
        <v>235</v>
      </c>
      <c r="AH63" s="24">
        <v>168</v>
      </c>
      <c r="AI63" s="24" t="s">
        <v>236</v>
      </c>
      <c r="AJ63" s="24">
        <v>1492.77</v>
      </c>
      <c r="AK63" s="24">
        <v>0</v>
      </c>
      <c r="AL63" s="24">
        <v>0</v>
      </c>
      <c r="AM63" s="24" t="s">
        <v>237</v>
      </c>
      <c r="AN63" s="24">
        <v>0</v>
      </c>
      <c r="AO63" s="24"/>
      <c r="AP63" s="24">
        <v>0</v>
      </c>
      <c r="AT63" t="s">
        <v>155</v>
      </c>
      <c r="AU63" s="8"/>
      <c r="AV63" s="8"/>
      <c r="AW63" s="8"/>
      <c r="AX63" s="8"/>
      <c r="AY63" s="8"/>
      <c r="AZ63" s="8"/>
      <c r="BA63" s="8"/>
      <c r="BB63" s="8"/>
      <c r="BC63" s="8"/>
      <c r="BD63" s="8">
        <v>57</v>
      </c>
      <c r="BE63" s="8"/>
    </row>
    <row r="64" spans="2:57" x14ac:dyDescent="0.3">
      <c r="B64" s="24" t="s">
        <v>222</v>
      </c>
      <c r="C64" s="24" t="s">
        <v>246</v>
      </c>
      <c r="D64" s="24">
        <v>100031</v>
      </c>
      <c r="E64" s="24" t="s">
        <v>224</v>
      </c>
      <c r="F64" s="24">
        <v>4500019878</v>
      </c>
      <c r="G64" s="24">
        <v>250</v>
      </c>
      <c r="H64" s="24"/>
      <c r="I64" s="24" t="s">
        <v>247</v>
      </c>
      <c r="J64" s="24" t="s">
        <v>226</v>
      </c>
      <c r="K64" s="24" t="s">
        <v>227</v>
      </c>
      <c r="L64" s="24" t="s">
        <v>239</v>
      </c>
      <c r="M64" s="24" t="s">
        <v>243</v>
      </c>
      <c r="N64" s="24" t="s">
        <v>230</v>
      </c>
      <c r="O64" s="24" t="s">
        <v>134</v>
      </c>
      <c r="P64" s="24" t="s">
        <v>270</v>
      </c>
      <c r="Q64" s="24" t="s">
        <v>271</v>
      </c>
      <c r="R64" s="24">
        <v>20170918</v>
      </c>
      <c r="S64" s="25">
        <v>43026</v>
      </c>
      <c r="T64" s="24">
        <v>20171118</v>
      </c>
      <c r="U64" s="24">
        <v>0</v>
      </c>
      <c r="V64" s="24">
        <v>448</v>
      </c>
      <c r="W64" s="24" t="s">
        <v>234</v>
      </c>
      <c r="X64" s="24">
        <v>448</v>
      </c>
      <c r="Y64" s="24" t="s">
        <v>234</v>
      </c>
      <c r="Z64" s="24">
        <v>0</v>
      </c>
      <c r="AA64" s="24"/>
      <c r="AB64" s="24">
        <v>0</v>
      </c>
      <c r="AC64" s="24"/>
      <c r="AD64" s="24">
        <v>5376</v>
      </c>
      <c r="AE64" s="24" t="s">
        <v>235</v>
      </c>
      <c r="AF64" s="24">
        <v>5913.6</v>
      </c>
      <c r="AG64" s="24" t="s">
        <v>235</v>
      </c>
      <c r="AH64" s="24">
        <v>8064</v>
      </c>
      <c r="AI64" s="24" t="s">
        <v>236</v>
      </c>
      <c r="AJ64" s="24">
        <v>40538.269999999997</v>
      </c>
      <c r="AK64" s="24">
        <v>0</v>
      </c>
      <c r="AL64" s="24">
        <v>0</v>
      </c>
      <c r="AM64" s="24" t="s">
        <v>237</v>
      </c>
      <c r="AN64" s="24">
        <v>0</v>
      </c>
      <c r="AO64" s="24"/>
      <c r="AP64" s="24">
        <v>0</v>
      </c>
      <c r="AT64" t="s">
        <v>126</v>
      </c>
      <c r="AU64" s="8"/>
      <c r="AV64" s="8"/>
      <c r="AW64" s="8"/>
      <c r="AX64" s="8"/>
      <c r="AY64" s="8"/>
      <c r="AZ64" s="8"/>
      <c r="BA64" s="8"/>
      <c r="BB64" s="8"/>
      <c r="BC64" s="8"/>
      <c r="BD64" s="8">
        <v>210</v>
      </c>
      <c r="BE64" s="8"/>
    </row>
    <row r="65" spans="2:57" x14ac:dyDescent="0.3">
      <c r="B65" s="24" t="s">
        <v>222</v>
      </c>
      <c r="C65" s="24" t="s">
        <v>246</v>
      </c>
      <c r="D65" s="24">
        <v>100031</v>
      </c>
      <c r="E65" s="24" t="s">
        <v>224</v>
      </c>
      <c r="F65" s="24">
        <v>4500019878</v>
      </c>
      <c r="G65" s="24">
        <v>260</v>
      </c>
      <c r="H65" s="24"/>
      <c r="I65" s="24" t="s">
        <v>247</v>
      </c>
      <c r="J65" s="24" t="s">
        <v>226</v>
      </c>
      <c r="K65" s="24" t="s">
        <v>227</v>
      </c>
      <c r="L65" s="24" t="s">
        <v>239</v>
      </c>
      <c r="M65" s="24" t="s">
        <v>255</v>
      </c>
      <c r="N65" s="24" t="s">
        <v>230</v>
      </c>
      <c r="O65" s="24" t="s">
        <v>161</v>
      </c>
      <c r="P65" s="24" t="s">
        <v>345</v>
      </c>
      <c r="Q65" s="24" t="s">
        <v>346</v>
      </c>
      <c r="R65" s="24">
        <v>20170918</v>
      </c>
      <c r="S65" s="25">
        <v>43026</v>
      </c>
      <c r="T65" s="24">
        <v>20171118</v>
      </c>
      <c r="U65" s="24">
        <v>0</v>
      </c>
      <c r="V65" s="24">
        <v>180</v>
      </c>
      <c r="W65" s="24" t="s">
        <v>234</v>
      </c>
      <c r="X65" s="24">
        <v>180</v>
      </c>
      <c r="Y65" s="24" t="s">
        <v>234</v>
      </c>
      <c r="Z65" s="24">
        <v>0</v>
      </c>
      <c r="AA65" s="24"/>
      <c r="AB65" s="24">
        <v>0</v>
      </c>
      <c r="AC65" s="24"/>
      <c r="AD65" s="24">
        <v>540</v>
      </c>
      <c r="AE65" s="24" t="s">
        <v>235</v>
      </c>
      <c r="AF65" s="24">
        <v>576</v>
      </c>
      <c r="AG65" s="24" t="s">
        <v>235</v>
      </c>
      <c r="AH65" s="24">
        <v>383.76</v>
      </c>
      <c r="AI65" s="24" t="s">
        <v>236</v>
      </c>
      <c r="AJ65" s="24">
        <v>5594.4</v>
      </c>
      <c r="AK65" s="24">
        <v>0</v>
      </c>
      <c r="AL65" s="24">
        <v>0</v>
      </c>
      <c r="AM65" s="24" t="s">
        <v>237</v>
      </c>
      <c r="AN65" s="24">
        <v>0</v>
      </c>
      <c r="AO65" s="24"/>
      <c r="AP65" s="24">
        <v>0</v>
      </c>
      <c r="AT65" t="s">
        <v>156</v>
      </c>
      <c r="AU65" s="8"/>
      <c r="AV65" s="8"/>
      <c r="AW65" s="8"/>
      <c r="AX65" s="8"/>
      <c r="AY65" s="8"/>
      <c r="AZ65" s="8"/>
      <c r="BA65" s="8"/>
      <c r="BB65" s="8"/>
      <c r="BC65" s="8"/>
      <c r="BD65" s="8">
        <v>48</v>
      </c>
      <c r="BE65" s="8"/>
    </row>
    <row r="66" spans="2:57" x14ac:dyDescent="0.3">
      <c r="B66" s="24" t="s">
        <v>222</v>
      </c>
      <c r="C66" s="24" t="s">
        <v>246</v>
      </c>
      <c r="D66" s="24">
        <v>100031</v>
      </c>
      <c r="E66" s="24" t="s">
        <v>224</v>
      </c>
      <c r="F66" s="24">
        <v>4500019878</v>
      </c>
      <c r="G66" s="24">
        <v>270</v>
      </c>
      <c r="H66" s="24"/>
      <c r="I66" s="24" t="s">
        <v>247</v>
      </c>
      <c r="J66" s="24" t="s">
        <v>226</v>
      </c>
      <c r="K66" s="24" t="s">
        <v>227</v>
      </c>
      <c r="L66" s="24" t="s">
        <v>239</v>
      </c>
      <c r="M66" s="24" t="s">
        <v>240</v>
      </c>
      <c r="N66" s="24" t="s">
        <v>230</v>
      </c>
      <c r="O66" s="24" t="s">
        <v>162</v>
      </c>
      <c r="P66" s="24" t="s">
        <v>347</v>
      </c>
      <c r="Q66" s="24" t="s">
        <v>348</v>
      </c>
      <c r="R66" s="24">
        <v>20170918</v>
      </c>
      <c r="S66" s="25">
        <v>43026</v>
      </c>
      <c r="T66" s="24">
        <v>20171118</v>
      </c>
      <c r="U66" s="24">
        <v>0</v>
      </c>
      <c r="V66" s="24">
        <v>54</v>
      </c>
      <c r="W66" s="24" t="s">
        <v>234</v>
      </c>
      <c r="X66" s="24">
        <v>54</v>
      </c>
      <c r="Y66" s="24" t="s">
        <v>234</v>
      </c>
      <c r="Z66" s="24">
        <v>0</v>
      </c>
      <c r="AA66" s="24"/>
      <c r="AB66" s="24">
        <v>0</v>
      </c>
      <c r="AC66" s="24"/>
      <c r="AD66" s="24">
        <v>54</v>
      </c>
      <c r="AE66" s="24" t="s">
        <v>235</v>
      </c>
      <c r="AF66" s="24">
        <v>58.212000000000003</v>
      </c>
      <c r="AG66" s="24" t="s">
        <v>235</v>
      </c>
      <c r="AH66" s="24">
        <v>64.8</v>
      </c>
      <c r="AI66" s="24" t="s">
        <v>236</v>
      </c>
      <c r="AJ66" s="24">
        <v>649.35</v>
      </c>
      <c r="AK66" s="24">
        <v>0</v>
      </c>
      <c r="AL66" s="24">
        <v>0</v>
      </c>
      <c r="AM66" s="24" t="s">
        <v>237</v>
      </c>
      <c r="AN66" s="24">
        <v>0</v>
      </c>
      <c r="AO66" s="24"/>
      <c r="AP66" s="24">
        <v>0</v>
      </c>
      <c r="AT66" t="s">
        <v>157</v>
      </c>
      <c r="AU66" s="8"/>
      <c r="AV66" s="8"/>
      <c r="AW66" s="8"/>
      <c r="AX66" s="8"/>
      <c r="AY66" s="8"/>
      <c r="AZ66" s="8"/>
      <c r="BA66" s="8"/>
      <c r="BB66" s="8"/>
      <c r="BC66" s="8"/>
      <c r="BD66" s="8">
        <v>153</v>
      </c>
      <c r="BE66" s="8"/>
    </row>
    <row r="67" spans="2:57" x14ac:dyDescent="0.3">
      <c r="B67" s="24" t="s">
        <v>222</v>
      </c>
      <c r="C67" s="24" t="s">
        <v>246</v>
      </c>
      <c r="D67" s="24">
        <v>100031</v>
      </c>
      <c r="E67" s="24" t="s">
        <v>224</v>
      </c>
      <c r="F67" s="24">
        <v>4500019878</v>
      </c>
      <c r="G67" s="24">
        <v>280</v>
      </c>
      <c r="H67" s="24"/>
      <c r="I67" s="24" t="s">
        <v>247</v>
      </c>
      <c r="J67" s="24" t="s">
        <v>226</v>
      </c>
      <c r="K67" s="24" t="s">
        <v>227</v>
      </c>
      <c r="L67" s="24" t="s">
        <v>239</v>
      </c>
      <c r="M67" s="24" t="s">
        <v>255</v>
      </c>
      <c r="N67" s="24" t="s">
        <v>230</v>
      </c>
      <c r="O67" s="24" t="s">
        <v>137</v>
      </c>
      <c r="P67" s="24" t="s">
        <v>282</v>
      </c>
      <c r="Q67" s="24" t="s">
        <v>283</v>
      </c>
      <c r="R67" s="24">
        <v>20170918</v>
      </c>
      <c r="S67" s="25">
        <v>43026</v>
      </c>
      <c r="T67" s="24">
        <v>20171118</v>
      </c>
      <c r="U67" s="24">
        <v>0</v>
      </c>
      <c r="V67" s="24">
        <v>1053</v>
      </c>
      <c r="W67" s="24" t="s">
        <v>234</v>
      </c>
      <c r="X67" s="24">
        <v>1053</v>
      </c>
      <c r="Y67" s="24" t="s">
        <v>234</v>
      </c>
      <c r="Z67" s="24">
        <v>0</v>
      </c>
      <c r="AA67" s="24"/>
      <c r="AB67" s="24">
        <v>0</v>
      </c>
      <c r="AC67" s="24"/>
      <c r="AD67" s="24">
        <v>3159</v>
      </c>
      <c r="AE67" s="24" t="s">
        <v>235</v>
      </c>
      <c r="AF67" s="24">
        <v>3685.5</v>
      </c>
      <c r="AG67" s="24" t="s">
        <v>235</v>
      </c>
      <c r="AH67" s="24">
        <v>0</v>
      </c>
      <c r="AI67" s="24" t="s">
        <v>236</v>
      </c>
      <c r="AJ67" s="24">
        <v>38033.730000000003</v>
      </c>
      <c r="AK67" s="24">
        <v>0</v>
      </c>
      <c r="AL67" s="24">
        <v>0</v>
      </c>
      <c r="AM67" s="24" t="s">
        <v>237</v>
      </c>
      <c r="AN67" s="24">
        <v>0</v>
      </c>
      <c r="AO67" s="24"/>
      <c r="AP67" s="24">
        <v>0</v>
      </c>
      <c r="AT67" t="s">
        <v>133</v>
      </c>
      <c r="AU67" s="8"/>
      <c r="AV67" s="8"/>
      <c r="AW67" s="8"/>
      <c r="AX67" s="8"/>
      <c r="AY67" s="8"/>
      <c r="AZ67" s="8"/>
      <c r="BA67" s="8"/>
      <c r="BB67" s="8"/>
      <c r="BC67" s="8"/>
      <c r="BD67" s="8">
        <v>1293</v>
      </c>
      <c r="BE67" s="8"/>
    </row>
    <row r="68" spans="2:57" x14ac:dyDescent="0.3">
      <c r="B68" s="24" t="s">
        <v>222</v>
      </c>
      <c r="C68" s="24" t="s">
        <v>246</v>
      </c>
      <c r="D68" s="24">
        <v>100031</v>
      </c>
      <c r="E68" s="24" t="s">
        <v>224</v>
      </c>
      <c r="F68" s="24">
        <v>4500019878</v>
      </c>
      <c r="G68" s="24">
        <v>290</v>
      </c>
      <c r="H68" s="24"/>
      <c r="I68" s="24" t="s">
        <v>247</v>
      </c>
      <c r="J68" s="24" t="s">
        <v>226</v>
      </c>
      <c r="K68" s="24" t="s">
        <v>227</v>
      </c>
      <c r="L68" s="24" t="s">
        <v>239</v>
      </c>
      <c r="M68" s="24" t="s">
        <v>240</v>
      </c>
      <c r="N68" s="24" t="s">
        <v>230</v>
      </c>
      <c r="O68" s="24" t="s">
        <v>163</v>
      </c>
      <c r="P68" s="24" t="s">
        <v>349</v>
      </c>
      <c r="Q68" s="24" t="s">
        <v>350</v>
      </c>
      <c r="R68" s="24">
        <v>20170918</v>
      </c>
      <c r="S68" s="25">
        <v>43026</v>
      </c>
      <c r="T68" s="24">
        <v>20171118</v>
      </c>
      <c r="U68" s="24">
        <v>0</v>
      </c>
      <c r="V68" s="24">
        <v>10</v>
      </c>
      <c r="W68" s="24" t="s">
        <v>234</v>
      </c>
      <c r="X68" s="24">
        <v>10</v>
      </c>
      <c r="Y68" s="24" t="s">
        <v>234</v>
      </c>
      <c r="Z68" s="24">
        <v>0</v>
      </c>
      <c r="AA68" s="24"/>
      <c r="AB68" s="24">
        <v>0</v>
      </c>
      <c r="AC68" s="24"/>
      <c r="AD68" s="24">
        <v>30</v>
      </c>
      <c r="AE68" s="24" t="s">
        <v>235</v>
      </c>
      <c r="AF68" s="24">
        <v>33</v>
      </c>
      <c r="AG68" s="24" t="s">
        <v>235</v>
      </c>
      <c r="AH68" s="24">
        <v>26.9</v>
      </c>
      <c r="AI68" s="24" t="s">
        <v>236</v>
      </c>
      <c r="AJ68" s="24">
        <v>296.37</v>
      </c>
      <c r="AK68" s="24">
        <v>0</v>
      </c>
      <c r="AL68" s="24">
        <v>0</v>
      </c>
      <c r="AM68" s="24" t="s">
        <v>237</v>
      </c>
      <c r="AN68" s="24">
        <v>0</v>
      </c>
      <c r="AO68" s="24"/>
      <c r="AP68" s="24">
        <v>0</v>
      </c>
      <c r="AT68" t="s">
        <v>159</v>
      </c>
      <c r="AU68" s="8"/>
      <c r="AV68" s="8"/>
      <c r="AW68" s="8"/>
      <c r="AX68" s="8"/>
      <c r="AY68" s="8"/>
      <c r="AZ68" s="8"/>
      <c r="BA68" s="8"/>
      <c r="BB68" s="8"/>
      <c r="BC68" s="8"/>
      <c r="BD68" s="8">
        <v>117</v>
      </c>
      <c r="BE68" s="8"/>
    </row>
    <row r="69" spans="2:57" x14ac:dyDescent="0.3">
      <c r="B69" s="24" t="s">
        <v>222</v>
      </c>
      <c r="C69" s="24" t="s">
        <v>246</v>
      </c>
      <c r="D69" s="24">
        <v>100031</v>
      </c>
      <c r="E69" s="24" t="s">
        <v>224</v>
      </c>
      <c r="F69" s="24">
        <v>4500019878</v>
      </c>
      <c r="G69" s="24">
        <v>300</v>
      </c>
      <c r="H69" s="24"/>
      <c r="I69" s="24" t="s">
        <v>247</v>
      </c>
      <c r="J69" s="24" t="s">
        <v>226</v>
      </c>
      <c r="K69" s="24" t="s">
        <v>227</v>
      </c>
      <c r="L69" s="24" t="s">
        <v>239</v>
      </c>
      <c r="M69" s="24" t="s">
        <v>240</v>
      </c>
      <c r="N69" s="24" t="s">
        <v>230</v>
      </c>
      <c r="O69" s="24" t="s">
        <v>164</v>
      </c>
      <c r="P69" s="24" t="s">
        <v>351</v>
      </c>
      <c r="Q69" s="24" t="s">
        <v>352</v>
      </c>
      <c r="R69" s="24">
        <v>20170918</v>
      </c>
      <c r="S69" s="25">
        <v>43026</v>
      </c>
      <c r="T69" s="24">
        <v>20171118</v>
      </c>
      <c r="U69" s="24">
        <v>0</v>
      </c>
      <c r="V69" s="24">
        <v>30</v>
      </c>
      <c r="W69" s="24" t="s">
        <v>234</v>
      </c>
      <c r="X69" s="24">
        <v>30</v>
      </c>
      <c r="Y69" s="24" t="s">
        <v>234</v>
      </c>
      <c r="Z69" s="24">
        <v>0</v>
      </c>
      <c r="AA69" s="24"/>
      <c r="AB69" s="24">
        <v>0</v>
      </c>
      <c r="AC69" s="24"/>
      <c r="AD69" s="24">
        <v>90</v>
      </c>
      <c r="AE69" s="24" t="s">
        <v>235</v>
      </c>
      <c r="AF69" s="24">
        <v>99</v>
      </c>
      <c r="AG69" s="24" t="s">
        <v>235</v>
      </c>
      <c r="AH69" s="24">
        <v>196.5</v>
      </c>
      <c r="AI69" s="24" t="s">
        <v>236</v>
      </c>
      <c r="AJ69" s="24">
        <v>981.68</v>
      </c>
      <c r="AK69" s="24">
        <v>0</v>
      </c>
      <c r="AL69" s="24">
        <v>0</v>
      </c>
      <c r="AM69" s="24" t="s">
        <v>237</v>
      </c>
      <c r="AN69" s="24">
        <v>0</v>
      </c>
      <c r="AO69" s="24"/>
      <c r="AP69" s="24">
        <v>0</v>
      </c>
      <c r="AT69" t="s">
        <v>160</v>
      </c>
      <c r="AU69" s="8"/>
      <c r="AV69" s="8"/>
      <c r="AW69" s="8"/>
      <c r="AX69" s="8"/>
      <c r="AY69" s="8"/>
      <c r="AZ69" s="8"/>
      <c r="BA69" s="8"/>
      <c r="BB69" s="8"/>
      <c r="BC69" s="8"/>
      <c r="BD69" s="8">
        <v>22</v>
      </c>
      <c r="BE69" s="8"/>
    </row>
    <row r="70" spans="2:57" x14ac:dyDescent="0.3">
      <c r="B70" s="24" t="s">
        <v>222</v>
      </c>
      <c r="C70" s="24" t="s">
        <v>246</v>
      </c>
      <c r="D70" s="24">
        <v>100031</v>
      </c>
      <c r="E70" s="24" t="s">
        <v>224</v>
      </c>
      <c r="F70" s="24">
        <v>4500019878</v>
      </c>
      <c r="G70" s="24">
        <v>310</v>
      </c>
      <c r="H70" s="24"/>
      <c r="I70" s="24" t="s">
        <v>247</v>
      </c>
      <c r="J70" s="24" t="s">
        <v>226</v>
      </c>
      <c r="K70" s="24" t="s">
        <v>227</v>
      </c>
      <c r="L70" s="24" t="s">
        <v>239</v>
      </c>
      <c r="M70" s="24" t="s">
        <v>255</v>
      </c>
      <c r="N70" s="24" t="s">
        <v>230</v>
      </c>
      <c r="O70" s="24" t="s">
        <v>165</v>
      </c>
      <c r="P70" s="24" t="s">
        <v>353</v>
      </c>
      <c r="Q70" s="24" t="s">
        <v>354</v>
      </c>
      <c r="R70" s="24">
        <v>20170918</v>
      </c>
      <c r="S70" s="25">
        <v>43026</v>
      </c>
      <c r="T70" s="24">
        <v>20171118</v>
      </c>
      <c r="U70" s="24">
        <v>0</v>
      </c>
      <c r="V70" s="24">
        <v>492</v>
      </c>
      <c r="W70" s="24" t="s">
        <v>234</v>
      </c>
      <c r="X70" s="24">
        <v>492</v>
      </c>
      <c r="Y70" s="24" t="s">
        <v>234</v>
      </c>
      <c r="Z70" s="24">
        <v>0</v>
      </c>
      <c r="AA70" s="24"/>
      <c r="AB70" s="24">
        <v>0</v>
      </c>
      <c r="AC70" s="24"/>
      <c r="AD70" s="24">
        <v>1476</v>
      </c>
      <c r="AE70" s="24" t="s">
        <v>235</v>
      </c>
      <c r="AF70" s="24">
        <v>1623.6</v>
      </c>
      <c r="AG70" s="24" t="s">
        <v>235</v>
      </c>
      <c r="AH70" s="24">
        <v>3665.4</v>
      </c>
      <c r="AI70" s="24" t="s">
        <v>236</v>
      </c>
      <c r="AJ70" s="24">
        <v>18098.419999999998</v>
      </c>
      <c r="AK70" s="24">
        <v>0</v>
      </c>
      <c r="AL70" s="24">
        <v>0</v>
      </c>
      <c r="AM70" s="24" t="s">
        <v>237</v>
      </c>
      <c r="AN70" s="24">
        <v>0</v>
      </c>
      <c r="AO70" s="24"/>
      <c r="AP70" s="24">
        <v>0</v>
      </c>
      <c r="AT70" t="s">
        <v>141</v>
      </c>
      <c r="AU70" s="8"/>
      <c r="AV70" s="8"/>
      <c r="AW70" s="8"/>
      <c r="AX70" s="8"/>
      <c r="AY70" s="8"/>
      <c r="AZ70" s="8"/>
      <c r="BA70" s="8"/>
      <c r="BB70" s="8"/>
      <c r="BC70" s="8"/>
      <c r="BD70" s="8">
        <v>42</v>
      </c>
      <c r="BE70" s="8"/>
    </row>
    <row r="71" spans="2:57" x14ac:dyDescent="0.3">
      <c r="B71" s="24" t="s">
        <v>222</v>
      </c>
      <c r="C71" s="24" t="s">
        <v>246</v>
      </c>
      <c r="D71" s="24">
        <v>100031</v>
      </c>
      <c r="E71" s="24" t="s">
        <v>224</v>
      </c>
      <c r="F71" s="24">
        <v>4500019878</v>
      </c>
      <c r="G71" s="24">
        <v>320</v>
      </c>
      <c r="H71" s="24"/>
      <c r="I71" s="24" t="s">
        <v>247</v>
      </c>
      <c r="J71" s="24" t="s">
        <v>226</v>
      </c>
      <c r="K71" s="24" t="s">
        <v>227</v>
      </c>
      <c r="L71" s="24" t="s">
        <v>284</v>
      </c>
      <c r="M71" s="24" t="s">
        <v>240</v>
      </c>
      <c r="N71" s="24" t="s">
        <v>230</v>
      </c>
      <c r="O71" s="24" t="s">
        <v>138</v>
      </c>
      <c r="P71" s="24" t="s">
        <v>285</v>
      </c>
      <c r="Q71" s="24" t="s">
        <v>286</v>
      </c>
      <c r="R71" s="24">
        <v>20170918</v>
      </c>
      <c r="S71" s="25">
        <v>43026</v>
      </c>
      <c r="T71" s="24">
        <v>20171118</v>
      </c>
      <c r="U71" s="24">
        <v>0</v>
      </c>
      <c r="V71" s="24">
        <v>12584</v>
      </c>
      <c r="W71" s="24" t="s">
        <v>234</v>
      </c>
      <c r="X71" s="24">
        <v>12584</v>
      </c>
      <c r="Y71" s="24" t="s">
        <v>234</v>
      </c>
      <c r="Z71" s="24">
        <v>0</v>
      </c>
      <c r="AA71" s="24"/>
      <c r="AB71" s="24">
        <v>0</v>
      </c>
      <c r="AC71" s="24"/>
      <c r="AD71" s="24">
        <v>3146</v>
      </c>
      <c r="AE71" s="24" t="s">
        <v>235</v>
      </c>
      <c r="AF71" s="24">
        <v>3775.2</v>
      </c>
      <c r="AG71" s="24" t="s">
        <v>235</v>
      </c>
      <c r="AH71" s="24">
        <v>0</v>
      </c>
      <c r="AI71" s="24" t="s">
        <v>236</v>
      </c>
      <c r="AJ71" s="24">
        <v>47567.519999999997</v>
      </c>
      <c r="AK71" s="24">
        <v>0</v>
      </c>
      <c r="AL71" s="24">
        <v>0</v>
      </c>
      <c r="AM71" s="24" t="s">
        <v>237</v>
      </c>
      <c r="AN71" s="24">
        <v>0</v>
      </c>
      <c r="AO71" s="24"/>
      <c r="AP71" s="24">
        <v>0</v>
      </c>
      <c r="AT71" t="s">
        <v>134</v>
      </c>
      <c r="AU71" s="8"/>
      <c r="AV71" s="8"/>
      <c r="AW71" s="8"/>
      <c r="AX71" s="8"/>
      <c r="AY71" s="8"/>
      <c r="AZ71" s="8"/>
      <c r="BA71" s="8"/>
      <c r="BB71" s="8"/>
      <c r="BC71" s="8"/>
      <c r="BD71" s="8">
        <v>448</v>
      </c>
      <c r="BE71" s="8"/>
    </row>
    <row r="72" spans="2:57" x14ac:dyDescent="0.3">
      <c r="B72" s="24" t="s">
        <v>222</v>
      </c>
      <c r="C72" s="24" t="s">
        <v>246</v>
      </c>
      <c r="D72" s="24">
        <v>100031</v>
      </c>
      <c r="E72" s="24" t="s">
        <v>224</v>
      </c>
      <c r="F72" s="24">
        <v>4500019878</v>
      </c>
      <c r="G72" s="24">
        <v>330</v>
      </c>
      <c r="H72" s="24"/>
      <c r="I72" s="24" t="s">
        <v>247</v>
      </c>
      <c r="J72" s="24" t="s">
        <v>226</v>
      </c>
      <c r="K72" s="24" t="s">
        <v>227</v>
      </c>
      <c r="L72" s="24" t="s">
        <v>239</v>
      </c>
      <c r="M72" s="24" t="s">
        <v>240</v>
      </c>
      <c r="N72" s="24" t="s">
        <v>230</v>
      </c>
      <c r="O72" s="24" t="s">
        <v>125</v>
      </c>
      <c r="P72" s="24" t="s">
        <v>241</v>
      </c>
      <c r="Q72" s="24" t="s">
        <v>242</v>
      </c>
      <c r="R72" s="24">
        <v>20170918</v>
      </c>
      <c r="S72" s="25">
        <v>43026</v>
      </c>
      <c r="T72" s="24">
        <v>20171118</v>
      </c>
      <c r="U72" s="24">
        <v>0</v>
      </c>
      <c r="V72" s="24">
        <v>33</v>
      </c>
      <c r="W72" s="24" t="s">
        <v>234</v>
      </c>
      <c r="X72" s="24">
        <v>33</v>
      </c>
      <c r="Y72" s="24" t="s">
        <v>234</v>
      </c>
      <c r="Z72" s="24">
        <v>0</v>
      </c>
      <c r="AA72" s="24"/>
      <c r="AB72" s="24">
        <v>0</v>
      </c>
      <c r="AC72" s="24"/>
      <c r="AD72" s="24">
        <v>99</v>
      </c>
      <c r="AE72" s="24" t="s">
        <v>235</v>
      </c>
      <c r="AF72" s="24">
        <v>115.5</v>
      </c>
      <c r="AG72" s="24" t="s">
        <v>235</v>
      </c>
      <c r="AH72" s="24">
        <v>172.26</v>
      </c>
      <c r="AI72" s="24" t="s">
        <v>236</v>
      </c>
      <c r="AJ72" s="24">
        <v>1059.3399999999999</v>
      </c>
      <c r="AK72" s="24">
        <v>0</v>
      </c>
      <c r="AL72" s="24">
        <v>0</v>
      </c>
      <c r="AM72" s="24" t="s">
        <v>237</v>
      </c>
      <c r="AN72" s="24">
        <v>0</v>
      </c>
      <c r="AO72" s="24"/>
      <c r="AP72" s="24">
        <v>0</v>
      </c>
      <c r="AT72" t="s">
        <v>162</v>
      </c>
      <c r="AU72" s="8"/>
      <c r="AV72" s="8"/>
      <c r="AW72" s="8"/>
      <c r="AX72" s="8"/>
      <c r="AY72" s="8"/>
      <c r="AZ72" s="8"/>
      <c r="BA72" s="8"/>
      <c r="BB72" s="8"/>
      <c r="BC72" s="8"/>
      <c r="BD72" s="8">
        <v>54</v>
      </c>
      <c r="BE72" s="8"/>
    </row>
    <row r="73" spans="2:57" x14ac:dyDescent="0.3">
      <c r="B73" s="24" t="s">
        <v>222</v>
      </c>
      <c r="C73" s="24" t="s">
        <v>246</v>
      </c>
      <c r="D73" s="24">
        <v>100031</v>
      </c>
      <c r="E73" s="24" t="s">
        <v>224</v>
      </c>
      <c r="F73" s="24">
        <v>4500019878</v>
      </c>
      <c r="G73" s="24">
        <v>340</v>
      </c>
      <c r="H73" s="24"/>
      <c r="I73" s="24" t="s">
        <v>247</v>
      </c>
      <c r="J73" s="24" t="s">
        <v>226</v>
      </c>
      <c r="K73" s="24" t="s">
        <v>227</v>
      </c>
      <c r="L73" s="24" t="s">
        <v>266</v>
      </c>
      <c r="M73" s="24" t="s">
        <v>312</v>
      </c>
      <c r="N73" s="24" t="s">
        <v>230</v>
      </c>
      <c r="O73" s="24" t="s">
        <v>166</v>
      </c>
      <c r="P73" s="24" t="s">
        <v>355</v>
      </c>
      <c r="Q73" s="24" t="s">
        <v>356</v>
      </c>
      <c r="R73" s="24">
        <v>20170918</v>
      </c>
      <c r="S73" s="25">
        <v>43026</v>
      </c>
      <c r="T73" s="24">
        <v>20171118</v>
      </c>
      <c r="U73" s="24">
        <v>0</v>
      </c>
      <c r="V73" s="24">
        <v>99</v>
      </c>
      <c r="W73" s="24" t="s">
        <v>234</v>
      </c>
      <c r="X73" s="24">
        <v>99</v>
      </c>
      <c r="Y73" s="24" t="s">
        <v>234</v>
      </c>
      <c r="Z73" s="24">
        <v>0</v>
      </c>
      <c r="AA73" s="24"/>
      <c r="AB73" s="24">
        <v>0</v>
      </c>
      <c r="AC73" s="24"/>
      <c r="AD73" s="24">
        <v>297</v>
      </c>
      <c r="AE73" s="24" t="s">
        <v>235</v>
      </c>
      <c r="AF73" s="24">
        <v>300.16800000000001</v>
      </c>
      <c r="AG73" s="24" t="s">
        <v>235</v>
      </c>
      <c r="AH73" s="24">
        <v>514.79999999999995</v>
      </c>
      <c r="AI73" s="24" t="s">
        <v>236</v>
      </c>
      <c r="AJ73" s="24">
        <v>3553.84</v>
      </c>
      <c r="AK73" s="24">
        <v>0</v>
      </c>
      <c r="AL73" s="24">
        <v>0</v>
      </c>
      <c r="AM73" s="24" t="s">
        <v>237</v>
      </c>
      <c r="AN73" s="24">
        <v>0</v>
      </c>
      <c r="AO73" s="24"/>
      <c r="AP73" s="24">
        <v>0</v>
      </c>
      <c r="AT73" t="s">
        <v>137</v>
      </c>
      <c r="AU73" s="8"/>
      <c r="AV73" s="8"/>
      <c r="AW73" s="8"/>
      <c r="AX73" s="8"/>
      <c r="AY73" s="8"/>
      <c r="AZ73" s="8"/>
      <c r="BA73" s="8"/>
      <c r="BB73" s="8"/>
      <c r="BC73" s="8"/>
      <c r="BD73" s="8">
        <v>1053</v>
      </c>
      <c r="BE73" s="8"/>
    </row>
    <row r="74" spans="2:57" x14ac:dyDescent="0.3">
      <c r="B74" s="24" t="s">
        <v>222</v>
      </c>
      <c r="C74" s="24" t="s">
        <v>246</v>
      </c>
      <c r="D74" s="24">
        <v>100031</v>
      </c>
      <c r="E74" s="24" t="s">
        <v>224</v>
      </c>
      <c r="F74" s="24">
        <v>4500019878</v>
      </c>
      <c r="G74" s="24">
        <v>350</v>
      </c>
      <c r="H74" s="24"/>
      <c r="I74" s="24" t="s">
        <v>247</v>
      </c>
      <c r="J74" s="24" t="s">
        <v>226</v>
      </c>
      <c r="K74" s="24" t="s">
        <v>227</v>
      </c>
      <c r="L74" s="24" t="s">
        <v>266</v>
      </c>
      <c r="M74" s="24" t="s">
        <v>312</v>
      </c>
      <c r="N74" s="24" t="s">
        <v>230</v>
      </c>
      <c r="O74" s="24" t="s">
        <v>167</v>
      </c>
      <c r="P74" s="24" t="s">
        <v>357</v>
      </c>
      <c r="Q74" s="24" t="s">
        <v>358</v>
      </c>
      <c r="R74" s="24">
        <v>20170918</v>
      </c>
      <c r="S74" s="25">
        <v>43026</v>
      </c>
      <c r="T74" s="24">
        <v>20171118</v>
      </c>
      <c r="U74" s="24">
        <v>0</v>
      </c>
      <c r="V74" s="24">
        <v>207</v>
      </c>
      <c r="W74" s="24" t="s">
        <v>234</v>
      </c>
      <c r="X74" s="24">
        <v>207</v>
      </c>
      <c r="Y74" s="24" t="s">
        <v>234</v>
      </c>
      <c r="Z74" s="24">
        <v>0</v>
      </c>
      <c r="AA74" s="24"/>
      <c r="AB74" s="24">
        <v>0</v>
      </c>
      <c r="AC74" s="24"/>
      <c r="AD74" s="24">
        <v>621</v>
      </c>
      <c r="AE74" s="24" t="s">
        <v>235</v>
      </c>
      <c r="AF74" s="24">
        <v>627.62400000000002</v>
      </c>
      <c r="AG74" s="24" t="s">
        <v>235</v>
      </c>
      <c r="AH74" s="24">
        <v>1076.4000000000001</v>
      </c>
      <c r="AI74" s="24" t="s">
        <v>236</v>
      </c>
      <c r="AJ74" s="24">
        <v>7793.8</v>
      </c>
      <c r="AK74" s="24">
        <v>0</v>
      </c>
      <c r="AL74" s="24">
        <v>0</v>
      </c>
      <c r="AM74" s="24" t="s">
        <v>237</v>
      </c>
      <c r="AN74" s="24">
        <v>0</v>
      </c>
      <c r="AO74" s="24"/>
      <c r="AP74" s="24">
        <v>0</v>
      </c>
      <c r="AT74" t="s">
        <v>165</v>
      </c>
      <c r="AU74" s="8"/>
      <c r="AV74" s="8"/>
      <c r="AW74" s="8"/>
      <c r="AX74" s="8"/>
      <c r="AY74" s="8"/>
      <c r="AZ74" s="8"/>
      <c r="BA74" s="8"/>
      <c r="BB74" s="8"/>
      <c r="BC74" s="8"/>
      <c r="BD74" s="8">
        <v>492</v>
      </c>
      <c r="BE74" s="8"/>
    </row>
    <row r="75" spans="2:57" x14ac:dyDescent="0.3">
      <c r="B75" s="24" t="s">
        <v>222</v>
      </c>
      <c r="C75" s="24" t="s">
        <v>246</v>
      </c>
      <c r="D75" s="24">
        <v>100031</v>
      </c>
      <c r="E75" s="24" t="s">
        <v>224</v>
      </c>
      <c r="F75" s="24">
        <v>4500019878</v>
      </c>
      <c r="G75" s="24">
        <v>360</v>
      </c>
      <c r="H75" s="24"/>
      <c r="I75" s="24" t="s">
        <v>247</v>
      </c>
      <c r="J75" s="24" t="s">
        <v>226</v>
      </c>
      <c r="K75" s="24" t="s">
        <v>227</v>
      </c>
      <c r="L75" s="24" t="s">
        <v>266</v>
      </c>
      <c r="M75" s="24" t="s">
        <v>312</v>
      </c>
      <c r="N75" s="24" t="s">
        <v>230</v>
      </c>
      <c r="O75" s="24" t="s">
        <v>168</v>
      </c>
      <c r="P75" s="24" t="s">
        <v>359</v>
      </c>
      <c r="Q75" s="24" t="s">
        <v>360</v>
      </c>
      <c r="R75" s="24">
        <v>20170918</v>
      </c>
      <c r="S75" s="25">
        <v>43026</v>
      </c>
      <c r="T75" s="24">
        <v>20171118</v>
      </c>
      <c r="U75" s="24">
        <v>0</v>
      </c>
      <c r="V75" s="24">
        <v>174</v>
      </c>
      <c r="W75" s="24" t="s">
        <v>234</v>
      </c>
      <c r="X75" s="24">
        <v>174</v>
      </c>
      <c r="Y75" s="24" t="s">
        <v>234</v>
      </c>
      <c r="Z75" s="24">
        <v>0</v>
      </c>
      <c r="AA75" s="24"/>
      <c r="AB75" s="24">
        <v>0</v>
      </c>
      <c r="AC75" s="24"/>
      <c r="AD75" s="24">
        <v>522</v>
      </c>
      <c r="AE75" s="24" t="s">
        <v>235</v>
      </c>
      <c r="AF75" s="24">
        <v>529.48199999999997</v>
      </c>
      <c r="AG75" s="24" t="s">
        <v>235</v>
      </c>
      <c r="AH75" s="24">
        <v>904.8</v>
      </c>
      <c r="AI75" s="24" t="s">
        <v>236</v>
      </c>
      <c r="AJ75" s="24">
        <v>6253.87</v>
      </c>
      <c r="AK75" s="24">
        <v>0</v>
      </c>
      <c r="AL75" s="24">
        <v>0</v>
      </c>
      <c r="AM75" s="24" t="s">
        <v>237</v>
      </c>
      <c r="AN75" s="24">
        <v>0</v>
      </c>
      <c r="AO75" s="24"/>
      <c r="AP75" s="24">
        <v>0</v>
      </c>
      <c r="AT75" t="s">
        <v>138</v>
      </c>
      <c r="AU75" s="8"/>
      <c r="AV75" s="8"/>
      <c r="AW75" s="8"/>
      <c r="AX75" s="8"/>
      <c r="AY75" s="8"/>
      <c r="AZ75" s="8"/>
      <c r="BA75" s="8"/>
      <c r="BB75" s="8"/>
      <c r="BC75" s="8"/>
      <c r="BD75" s="8">
        <v>12584</v>
      </c>
      <c r="BE75" s="8"/>
    </row>
    <row r="76" spans="2:57" x14ac:dyDescent="0.3">
      <c r="B76" s="24" t="s">
        <v>222</v>
      </c>
      <c r="C76" s="24" t="s">
        <v>246</v>
      </c>
      <c r="D76" s="24">
        <v>100031</v>
      </c>
      <c r="E76" s="24" t="s">
        <v>224</v>
      </c>
      <c r="F76" s="24">
        <v>4500019878</v>
      </c>
      <c r="G76" s="24">
        <v>370</v>
      </c>
      <c r="H76" s="24"/>
      <c r="I76" s="24" t="s">
        <v>247</v>
      </c>
      <c r="J76" s="24" t="s">
        <v>226</v>
      </c>
      <c r="K76" s="24" t="s">
        <v>227</v>
      </c>
      <c r="L76" s="24" t="s">
        <v>239</v>
      </c>
      <c r="M76" s="24" t="s">
        <v>240</v>
      </c>
      <c r="N76" s="24" t="s">
        <v>230</v>
      </c>
      <c r="O76" s="24" t="s">
        <v>169</v>
      </c>
      <c r="P76" s="24" t="s">
        <v>361</v>
      </c>
      <c r="Q76" s="24" t="s">
        <v>362</v>
      </c>
      <c r="R76" s="24">
        <v>20170918</v>
      </c>
      <c r="S76" s="25">
        <v>43026</v>
      </c>
      <c r="T76" s="24">
        <v>20171118</v>
      </c>
      <c r="U76" s="24">
        <v>0</v>
      </c>
      <c r="V76" s="24">
        <v>9</v>
      </c>
      <c r="W76" s="24" t="s">
        <v>234</v>
      </c>
      <c r="X76" s="24">
        <v>9</v>
      </c>
      <c r="Y76" s="24" t="s">
        <v>234</v>
      </c>
      <c r="Z76" s="24">
        <v>0</v>
      </c>
      <c r="AA76" s="24"/>
      <c r="AB76" s="24">
        <v>0</v>
      </c>
      <c r="AC76" s="24"/>
      <c r="AD76" s="24">
        <v>27</v>
      </c>
      <c r="AE76" s="24" t="s">
        <v>235</v>
      </c>
      <c r="AF76" s="24">
        <v>27.27</v>
      </c>
      <c r="AG76" s="24" t="s">
        <v>235</v>
      </c>
      <c r="AH76" s="24">
        <v>46.8</v>
      </c>
      <c r="AI76" s="24" t="s">
        <v>236</v>
      </c>
      <c r="AJ76" s="24">
        <v>294.51</v>
      </c>
      <c r="AK76" s="24">
        <v>0</v>
      </c>
      <c r="AL76" s="24">
        <v>0</v>
      </c>
      <c r="AM76" s="24" t="s">
        <v>237</v>
      </c>
      <c r="AN76" s="24">
        <v>0</v>
      </c>
      <c r="AO76" s="24"/>
      <c r="AP76" s="24">
        <v>0</v>
      </c>
      <c r="AT76" t="s">
        <v>125</v>
      </c>
      <c r="AU76" s="8"/>
      <c r="AV76" s="8"/>
      <c r="AW76" s="8"/>
      <c r="AX76" s="8"/>
      <c r="AY76" s="8"/>
      <c r="AZ76" s="8"/>
      <c r="BA76" s="8"/>
      <c r="BB76" s="8"/>
      <c r="BC76" s="8"/>
      <c r="BD76" s="8">
        <v>33</v>
      </c>
      <c r="BE76" s="8"/>
    </row>
    <row r="77" spans="2:57" x14ac:dyDescent="0.3">
      <c r="B77" s="24" t="s">
        <v>222</v>
      </c>
      <c r="C77" s="24" t="s">
        <v>246</v>
      </c>
      <c r="D77" s="24">
        <v>100031</v>
      </c>
      <c r="E77" s="24" t="s">
        <v>224</v>
      </c>
      <c r="F77" s="24">
        <v>4500019878</v>
      </c>
      <c r="G77" s="24">
        <v>380</v>
      </c>
      <c r="H77" s="24"/>
      <c r="I77" s="24" t="s">
        <v>247</v>
      </c>
      <c r="J77" s="24" t="s">
        <v>226</v>
      </c>
      <c r="K77" s="24" t="s">
        <v>227</v>
      </c>
      <c r="L77" s="24" t="s">
        <v>239</v>
      </c>
      <c r="M77" s="24" t="s">
        <v>243</v>
      </c>
      <c r="N77" s="24" t="s">
        <v>230</v>
      </c>
      <c r="O77" s="24" t="s">
        <v>170</v>
      </c>
      <c r="P77" s="24" t="s">
        <v>363</v>
      </c>
      <c r="Q77" s="24" t="s">
        <v>364</v>
      </c>
      <c r="R77" s="24">
        <v>20170918</v>
      </c>
      <c r="S77" s="25">
        <v>43026</v>
      </c>
      <c r="T77" s="24">
        <v>20171118</v>
      </c>
      <c r="U77" s="24">
        <v>0</v>
      </c>
      <c r="V77" s="24">
        <v>180</v>
      </c>
      <c r="W77" s="24" t="s">
        <v>234</v>
      </c>
      <c r="X77" s="24">
        <v>180</v>
      </c>
      <c r="Y77" s="24" t="s">
        <v>234</v>
      </c>
      <c r="Z77" s="24">
        <v>0</v>
      </c>
      <c r="AA77" s="24"/>
      <c r="AB77" s="24">
        <v>0</v>
      </c>
      <c r="AC77" s="24"/>
      <c r="AD77" s="24">
        <v>540</v>
      </c>
      <c r="AE77" s="24" t="s">
        <v>235</v>
      </c>
      <c r="AF77" s="24">
        <v>558</v>
      </c>
      <c r="AG77" s="24" t="s">
        <v>235</v>
      </c>
      <c r="AH77" s="24">
        <v>1.8</v>
      </c>
      <c r="AI77" s="24" t="s">
        <v>236</v>
      </c>
      <c r="AJ77" s="24">
        <v>3276.72</v>
      </c>
      <c r="AK77" s="24">
        <v>0</v>
      </c>
      <c r="AL77" s="24">
        <v>0</v>
      </c>
      <c r="AM77" s="24" t="s">
        <v>237</v>
      </c>
      <c r="AN77" s="24">
        <v>0</v>
      </c>
      <c r="AO77" s="24"/>
      <c r="AP77" s="24">
        <v>0</v>
      </c>
      <c r="AT77" t="s">
        <v>167</v>
      </c>
      <c r="AU77" s="8"/>
      <c r="AV77" s="8"/>
      <c r="AW77" s="8"/>
      <c r="AX77" s="8"/>
      <c r="AY77" s="8"/>
      <c r="AZ77" s="8"/>
      <c r="BA77" s="8"/>
      <c r="BB77" s="8"/>
      <c r="BC77" s="8"/>
      <c r="BD77" s="8">
        <v>207</v>
      </c>
      <c r="BE77" s="8"/>
    </row>
    <row r="78" spans="2:57" x14ac:dyDescent="0.3">
      <c r="B78" s="24" t="s">
        <v>222</v>
      </c>
      <c r="C78" s="24" t="s">
        <v>246</v>
      </c>
      <c r="D78" s="24">
        <v>100031</v>
      </c>
      <c r="E78" s="24" t="s">
        <v>224</v>
      </c>
      <c r="F78" s="24">
        <v>4500019878</v>
      </c>
      <c r="G78" s="24">
        <v>390</v>
      </c>
      <c r="H78" s="24"/>
      <c r="I78" s="24" t="s">
        <v>247</v>
      </c>
      <c r="J78" s="24" t="s">
        <v>226</v>
      </c>
      <c r="K78" s="24" t="s">
        <v>227</v>
      </c>
      <c r="L78" s="24" t="s">
        <v>239</v>
      </c>
      <c r="M78" s="24" t="s">
        <v>240</v>
      </c>
      <c r="N78" s="24" t="s">
        <v>230</v>
      </c>
      <c r="O78" s="24" t="s">
        <v>171</v>
      </c>
      <c r="P78" s="24" t="s">
        <v>365</v>
      </c>
      <c r="Q78" s="24" t="s">
        <v>366</v>
      </c>
      <c r="R78" s="24">
        <v>20170918</v>
      </c>
      <c r="S78" s="25">
        <v>43026</v>
      </c>
      <c r="T78" s="24">
        <v>20171118</v>
      </c>
      <c r="U78" s="24">
        <v>0</v>
      </c>
      <c r="V78" s="24">
        <v>2</v>
      </c>
      <c r="W78" s="24" t="s">
        <v>234</v>
      </c>
      <c r="X78" s="24">
        <v>2</v>
      </c>
      <c r="Y78" s="24" t="s">
        <v>234</v>
      </c>
      <c r="Z78" s="24">
        <v>0</v>
      </c>
      <c r="AA78" s="24"/>
      <c r="AB78" s="24">
        <v>0</v>
      </c>
      <c r="AC78" s="24"/>
      <c r="AD78" s="24">
        <v>6</v>
      </c>
      <c r="AE78" s="24" t="s">
        <v>235</v>
      </c>
      <c r="AF78" s="24">
        <v>6</v>
      </c>
      <c r="AG78" s="24" t="s">
        <v>235</v>
      </c>
      <c r="AH78" s="24">
        <v>10.44</v>
      </c>
      <c r="AI78" s="24" t="s">
        <v>236</v>
      </c>
      <c r="AJ78" s="24">
        <v>90.8</v>
      </c>
      <c r="AK78" s="24">
        <v>0</v>
      </c>
      <c r="AL78" s="24">
        <v>0</v>
      </c>
      <c r="AM78" s="24" t="s">
        <v>237</v>
      </c>
      <c r="AN78" s="24">
        <v>0</v>
      </c>
      <c r="AO78" s="24"/>
      <c r="AP78" s="24">
        <v>0</v>
      </c>
      <c r="AT78" t="s">
        <v>168</v>
      </c>
      <c r="AU78" s="8"/>
      <c r="AV78" s="8"/>
      <c r="AW78" s="8"/>
      <c r="AX78" s="8"/>
      <c r="AY78" s="8"/>
      <c r="AZ78" s="8"/>
      <c r="BA78" s="8"/>
      <c r="BB78" s="8"/>
      <c r="BC78" s="8"/>
      <c r="BD78" s="8">
        <v>174</v>
      </c>
      <c r="BE78" s="8"/>
    </row>
    <row r="79" spans="2:57" x14ac:dyDescent="0.3">
      <c r="B79" s="24" t="s">
        <v>222</v>
      </c>
      <c r="C79" s="24" t="s">
        <v>246</v>
      </c>
      <c r="D79" s="24">
        <v>100031</v>
      </c>
      <c r="E79" s="24" t="s">
        <v>224</v>
      </c>
      <c r="F79" s="24">
        <v>4500019878</v>
      </c>
      <c r="G79" s="24">
        <v>400</v>
      </c>
      <c r="H79" s="24"/>
      <c r="I79" s="24" t="s">
        <v>247</v>
      </c>
      <c r="J79" s="24" t="s">
        <v>226</v>
      </c>
      <c r="K79" s="24" t="s">
        <v>227</v>
      </c>
      <c r="L79" s="24" t="s">
        <v>266</v>
      </c>
      <c r="M79" s="24" t="s">
        <v>312</v>
      </c>
      <c r="N79" s="24" t="s">
        <v>230</v>
      </c>
      <c r="O79" s="24" t="s">
        <v>146</v>
      </c>
      <c r="P79" s="24" t="s">
        <v>313</v>
      </c>
      <c r="Q79" s="24" t="s">
        <v>314</v>
      </c>
      <c r="R79" s="24">
        <v>20170918</v>
      </c>
      <c r="S79" s="25">
        <v>43026</v>
      </c>
      <c r="T79" s="24">
        <v>20171118</v>
      </c>
      <c r="U79" s="24">
        <v>0</v>
      </c>
      <c r="V79" s="24">
        <v>18</v>
      </c>
      <c r="W79" s="24" t="s">
        <v>234</v>
      </c>
      <c r="X79" s="24">
        <v>18</v>
      </c>
      <c r="Y79" s="24" t="s">
        <v>234</v>
      </c>
      <c r="Z79" s="24">
        <v>0</v>
      </c>
      <c r="AA79" s="24"/>
      <c r="AB79" s="24">
        <v>0</v>
      </c>
      <c r="AC79" s="24"/>
      <c r="AD79" s="24">
        <v>18</v>
      </c>
      <c r="AE79" s="24" t="s">
        <v>235</v>
      </c>
      <c r="AF79" s="24">
        <v>18</v>
      </c>
      <c r="AG79" s="24" t="s">
        <v>235</v>
      </c>
      <c r="AH79" s="24">
        <v>23.94</v>
      </c>
      <c r="AI79" s="24" t="s">
        <v>236</v>
      </c>
      <c r="AJ79" s="24">
        <v>239.76</v>
      </c>
      <c r="AK79" s="24">
        <v>0</v>
      </c>
      <c r="AL79" s="24">
        <v>0</v>
      </c>
      <c r="AM79" s="24" t="s">
        <v>237</v>
      </c>
      <c r="AN79" s="24">
        <v>0</v>
      </c>
      <c r="AO79" s="24"/>
      <c r="AP79" s="24">
        <v>0</v>
      </c>
      <c r="AT79" t="s">
        <v>170</v>
      </c>
      <c r="AU79" s="8"/>
      <c r="AV79" s="8"/>
      <c r="AW79" s="8"/>
      <c r="AX79" s="8"/>
      <c r="AY79" s="8"/>
      <c r="AZ79" s="8"/>
      <c r="BA79" s="8"/>
      <c r="BB79" s="8"/>
      <c r="BC79" s="8"/>
      <c r="BD79" s="8">
        <v>180</v>
      </c>
      <c r="BE79" s="8"/>
    </row>
    <row r="80" spans="2:57" x14ac:dyDescent="0.3">
      <c r="B80" s="24" t="s">
        <v>222</v>
      </c>
      <c r="C80" s="24" t="s">
        <v>246</v>
      </c>
      <c r="D80" s="24">
        <v>100031</v>
      </c>
      <c r="E80" s="24" t="s">
        <v>224</v>
      </c>
      <c r="F80" s="24">
        <v>4500019878</v>
      </c>
      <c r="G80" s="24">
        <v>410</v>
      </c>
      <c r="H80" s="24"/>
      <c r="I80" s="24" t="s">
        <v>247</v>
      </c>
      <c r="J80" s="24" t="s">
        <v>226</v>
      </c>
      <c r="K80" s="24" t="s">
        <v>227</v>
      </c>
      <c r="L80" s="24" t="s">
        <v>239</v>
      </c>
      <c r="M80" s="24" t="s">
        <v>240</v>
      </c>
      <c r="N80" s="24" t="s">
        <v>230</v>
      </c>
      <c r="O80" s="24" t="s">
        <v>172</v>
      </c>
      <c r="P80" s="24" t="s">
        <v>367</v>
      </c>
      <c r="Q80" s="24" t="s">
        <v>368</v>
      </c>
      <c r="R80" s="24">
        <v>20170918</v>
      </c>
      <c r="S80" s="25">
        <v>43026</v>
      </c>
      <c r="T80" s="24">
        <v>20171118</v>
      </c>
      <c r="U80" s="24">
        <v>0</v>
      </c>
      <c r="V80" s="24">
        <v>6</v>
      </c>
      <c r="W80" s="24" t="s">
        <v>234</v>
      </c>
      <c r="X80" s="24">
        <v>6</v>
      </c>
      <c r="Y80" s="24" t="s">
        <v>234</v>
      </c>
      <c r="Z80" s="24">
        <v>0</v>
      </c>
      <c r="AA80" s="24"/>
      <c r="AB80" s="24">
        <v>0</v>
      </c>
      <c r="AC80" s="24"/>
      <c r="AD80" s="24">
        <v>18</v>
      </c>
      <c r="AE80" s="24" t="s">
        <v>235</v>
      </c>
      <c r="AF80" s="24">
        <v>18</v>
      </c>
      <c r="AG80" s="24" t="s">
        <v>235</v>
      </c>
      <c r="AH80" s="24">
        <v>31.35</v>
      </c>
      <c r="AI80" s="24" t="s">
        <v>236</v>
      </c>
      <c r="AJ80" s="24">
        <v>267.60000000000002</v>
      </c>
      <c r="AK80" s="24">
        <v>0</v>
      </c>
      <c r="AL80" s="24">
        <v>0</v>
      </c>
      <c r="AM80" s="24" t="s">
        <v>237</v>
      </c>
      <c r="AN80" s="24">
        <v>0</v>
      </c>
      <c r="AO80" s="24"/>
      <c r="AP80" s="24">
        <v>0</v>
      </c>
      <c r="AT80" t="s">
        <v>146</v>
      </c>
      <c r="AU80" s="8"/>
      <c r="AV80" s="8"/>
      <c r="AW80" s="8"/>
      <c r="AX80" s="8"/>
      <c r="AY80" s="8"/>
      <c r="AZ80" s="8"/>
      <c r="BA80" s="8"/>
      <c r="BB80" s="8"/>
      <c r="BC80" s="8"/>
      <c r="BD80" s="8">
        <v>18</v>
      </c>
      <c r="BE80" s="8"/>
    </row>
    <row r="81" spans="2:57" x14ac:dyDescent="0.3">
      <c r="B81" s="24" t="s">
        <v>222</v>
      </c>
      <c r="C81" s="24" t="s">
        <v>246</v>
      </c>
      <c r="D81" s="24">
        <v>100031</v>
      </c>
      <c r="E81" s="24" t="s">
        <v>224</v>
      </c>
      <c r="F81" s="24">
        <v>4500019878</v>
      </c>
      <c r="G81" s="24">
        <v>420</v>
      </c>
      <c r="H81" s="24"/>
      <c r="I81" s="24" t="s">
        <v>247</v>
      </c>
      <c r="J81" s="24" t="s">
        <v>226</v>
      </c>
      <c r="K81" s="24" t="s">
        <v>317</v>
      </c>
      <c r="L81" s="24" t="s">
        <v>318</v>
      </c>
      <c r="M81" s="24" t="s">
        <v>261</v>
      </c>
      <c r="N81" s="24" t="s">
        <v>230</v>
      </c>
      <c r="O81" s="24" t="s">
        <v>148</v>
      </c>
      <c r="P81" s="24" t="s">
        <v>319</v>
      </c>
      <c r="Q81" s="24" t="s">
        <v>320</v>
      </c>
      <c r="R81" s="24">
        <v>20170918</v>
      </c>
      <c r="S81" s="25">
        <v>43026</v>
      </c>
      <c r="T81" s="24">
        <v>20171118</v>
      </c>
      <c r="U81" s="24">
        <v>0</v>
      </c>
      <c r="V81" s="24">
        <v>19</v>
      </c>
      <c r="W81" s="24" t="s">
        <v>234</v>
      </c>
      <c r="X81" s="24">
        <v>19</v>
      </c>
      <c r="Y81" s="24" t="s">
        <v>234</v>
      </c>
      <c r="Z81" s="24">
        <v>0</v>
      </c>
      <c r="AA81" s="24"/>
      <c r="AB81" s="24">
        <v>0</v>
      </c>
      <c r="AC81" s="24"/>
      <c r="AD81" s="24">
        <v>95</v>
      </c>
      <c r="AE81" s="24" t="s">
        <v>235</v>
      </c>
      <c r="AF81" s="24">
        <v>95</v>
      </c>
      <c r="AG81" s="24" t="s">
        <v>235</v>
      </c>
      <c r="AH81" s="24">
        <v>158.84</v>
      </c>
      <c r="AI81" s="24" t="s">
        <v>236</v>
      </c>
      <c r="AJ81" s="24">
        <v>1983.87</v>
      </c>
      <c r="AK81" s="24">
        <v>0</v>
      </c>
      <c r="AL81" s="24">
        <v>0</v>
      </c>
      <c r="AM81" s="24" t="s">
        <v>237</v>
      </c>
      <c r="AN81" s="24">
        <v>0</v>
      </c>
      <c r="AO81" s="24"/>
      <c r="AP81" s="24">
        <v>0</v>
      </c>
      <c r="AT81" t="s">
        <v>148</v>
      </c>
      <c r="AU81" s="8"/>
      <c r="AV81" s="8"/>
      <c r="AW81" s="8"/>
      <c r="AX81" s="8"/>
      <c r="AY81" s="8"/>
      <c r="AZ81" s="8"/>
      <c r="BA81" s="8"/>
      <c r="BB81" s="8"/>
      <c r="BC81" s="8"/>
      <c r="BD81" s="8">
        <v>19</v>
      </c>
      <c r="BE81" s="8"/>
    </row>
    <row r="82" spans="2:57" x14ac:dyDescent="0.3">
      <c r="B82" s="24" t="s">
        <v>222</v>
      </c>
      <c r="C82" s="24" t="s">
        <v>246</v>
      </c>
      <c r="D82" s="24">
        <v>100031</v>
      </c>
      <c r="E82" s="24" t="s">
        <v>224</v>
      </c>
      <c r="F82" s="24">
        <v>4500019878</v>
      </c>
      <c r="G82" s="24">
        <v>430</v>
      </c>
      <c r="H82" s="24"/>
      <c r="I82" s="24" t="s">
        <v>247</v>
      </c>
      <c r="J82" s="24" t="s">
        <v>226</v>
      </c>
      <c r="K82" s="24" t="s">
        <v>317</v>
      </c>
      <c r="L82" s="24" t="s">
        <v>318</v>
      </c>
      <c r="M82" s="24" t="s">
        <v>261</v>
      </c>
      <c r="N82" s="24" t="s">
        <v>230</v>
      </c>
      <c r="O82" s="24" t="s">
        <v>149</v>
      </c>
      <c r="P82" s="24" t="s">
        <v>321</v>
      </c>
      <c r="Q82" s="24" t="s">
        <v>322</v>
      </c>
      <c r="R82" s="24">
        <v>20170918</v>
      </c>
      <c r="S82" s="25">
        <v>43026</v>
      </c>
      <c r="T82" s="24">
        <v>20171118</v>
      </c>
      <c r="U82" s="24">
        <v>0</v>
      </c>
      <c r="V82" s="24">
        <v>9</v>
      </c>
      <c r="W82" s="24" t="s">
        <v>234</v>
      </c>
      <c r="X82" s="24">
        <v>9</v>
      </c>
      <c r="Y82" s="24" t="s">
        <v>234</v>
      </c>
      <c r="Z82" s="24">
        <v>0</v>
      </c>
      <c r="AA82" s="24"/>
      <c r="AB82" s="24">
        <v>0</v>
      </c>
      <c r="AC82" s="24"/>
      <c r="AD82" s="24">
        <v>45</v>
      </c>
      <c r="AE82" s="24" t="s">
        <v>235</v>
      </c>
      <c r="AF82" s="24">
        <v>45</v>
      </c>
      <c r="AG82" s="24" t="s">
        <v>235</v>
      </c>
      <c r="AH82" s="24">
        <v>75.239999999999995</v>
      </c>
      <c r="AI82" s="24" t="s">
        <v>236</v>
      </c>
      <c r="AJ82" s="24">
        <v>734.27</v>
      </c>
      <c r="AK82" s="24">
        <v>0</v>
      </c>
      <c r="AL82" s="24">
        <v>0</v>
      </c>
      <c r="AM82" s="24" t="s">
        <v>237</v>
      </c>
      <c r="AN82" s="24">
        <v>0</v>
      </c>
      <c r="AO82" s="24"/>
      <c r="AP82" s="24">
        <v>0</v>
      </c>
      <c r="AT82" t="s">
        <v>149</v>
      </c>
      <c r="AU82" s="8"/>
      <c r="AV82" s="8"/>
      <c r="AW82" s="8"/>
      <c r="AX82" s="8"/>
      <c r="AY82" s="8"/>
      <c r="AZ82" s="8"/>
      <c r="BA82" s="8"/>
      <c r="BB82" s="8"/>
      <c r="BC82" s="8"/>
      <c r="BD82" s="8">
        <v>9</v>
      </c>
      <c r="BE82" s="8"/>
    </row>
    <row r="83" spans="2:57" x14ac:dyDescent="0.3">
      <c r="B83" s="24" t="s">
        <v>272</v>
      </c>
      <c r="C83" s="24" t="s">
        <v>246</v>
      </c>
      <c r="D83" s="24">
        <v>100031</v>
      </c>
      <c r="E83" s="24" t="s">
        <v>224</v>
      </c>
      <c r="F83" s="24">
        <v>4500019879</v>
      </c>
      <c r="G83" s="24">
        <v>10</v>
      </c>
      <c r="H83" s="24"/>
      <c r="I83" s="24" t="s">
        <v>301</v>
      </c>
      <c r="J83" s="24" t="s">
        <v>226</v>
      </c>
      <c r="K83" s="24" t="s">
        <v>227</v>
      </c>
      <c r="L83" s="24" t="s">
        <v>274</v>
      </c>
      <c r="M83" s="24" t="s">
        <v>275</v>
      </c>
      <c r="N83" s="24" t="s">
        <v>230</v>
      </c>
      <c r="O83" s="24" t="s">
        <v>173</v>
      </c>
      <c r="P83" s="24" t="s">
        <v>369</v>
      </c>
      <c r="Q83" s="24" t="s">
        <v>370</v>
      </c>
      <c r="R83" s="24">
        <v>20170918</v>
      </c>
      <c r="S83" s="24" t="s">
        <v>371</v>
      </c>
      <c r="T83" s="24">
        <v>20171018</v>
      </c>
      <c r="U83" s="24">
        <v>0</v>
      </c>
      <c r="V83" s="24">
        <v>9</v>
      </c>
      <c r="W83" s="24" t="s">
        <v>234</v>
      </c>
      <c r="X83" s="24">
        <v>9</v>
      </c>
      <c r="Y83" s="24" t="s">
        <v>234</v>
      </c>
      <c r="Z83" s="24">
        <v>0</v>
      </c>
      <c r="AA83" s="24"/>
      <c r="AB83" s="24">
        <v>0</v>
      </c>
      <c r="AC83" s="24"/>
      <c r="AD83" s="24">
        <v>90</v>
      </c>
      <c r="AE83" s="24" t="s">
        <v>235</v>
      </c>
      <c r="AF83" s="24">
        <v>99</v>
      </c>
      <c r="AG83" s="24" t="s">
        <v>235</v>
      </c>
      <c r="AH83" s="24">
        <v>225</v>
      </c>
      <c r="AI83" s="24" t="s">
        <v>236</v>
      </c>
      <c r="AJ83" s="24">
        <v>525.47</v>
      </c>
      <c r="AK83" s="24">
        <v>0</v>
      </c>
      <c r="AL83" s="24">
        <v>0</v>
      </c>
      <c r="AM83" s="24" t="s">
        <v>237</v>
      </c>
      <c r="AN83" s="24">
        <v>0</v>
      </c>
      <c r="AO83" s="24"/>
      <c r="AP83" s="24">
        <v>0</v>
      </c>
      <c r="AT83" t="s">
        <v>151</v>
      </c>
      <c r="AU83" s="8"/>
      <c r="AV83" s="8"/>
      <c r="AW83" s="8"/>
      <c r="AX83" s="8"/>
      <c r="AY83" s="8"/>
      <c r="AZ83" s="8"/>
      <c r="BA83" s="8"/>
      <c r="BB83" s="8"/>
      <c r="BC83" s="8"/>
      <c r="BD83" s="8">
        <v>396</v>
      </c>
      <c r="BE83" s="8"/>
    </row>
    <row r="84" spans="2:57" x14ac:dyDescent="0.3">
      <c r="B84" s="24" t="s">
        <v>272</v>
      </c>
      <c r="C84" s="24" t="s">
        <v>246</v>
      </c>
      <c r="D84" s="24">
        <v>100031</v>
      </c>
      <c r="E84" s="24" t="s">
        <v>224</v>
      </c>
      <c r="F84" s="24">
        <v>4500019879</v>
      </c>
      <c r="G84" s="24">
        <v>20</v>
      </c>
      <c r="H84" s="24"/>
      <c r="I84" s="24" t="s">
        <v>301</v>
      </c>
      <c r="J84" s="24" t="s">
        <v>226</v>
      </c>
      <c r="K84" s="24" t="s">
        <v>261</v>
      </c>
      <c r="L84" s="24" t="s">
        <v>262</v>
      </c>
      <c r="M84" s="24" t="s">
        <v>372</v>
      </c>
      <c r="N84" s="24" t="s">
        <v>230</v>
      </c>
      <c r="O84" s="24" t="s">
        <v>174</v>
      </c>
      <c r="P84" s="24" t="s">
        <v>373</v>
      </c>
      <c r="Q84" s="24" t="s">
        <v>374</v>
      </c>
      <c r="R84" s="24">
        <v>20170918</v>
      </c>
      <c r="S84" s="24" t="s">
        <v>371</v>
      </c>
      <c r="T84" s="24">
        <v>20171018</v>
      </c>
      <c r="U84" s="24">
        <v>0</v>
      </c>
      <c r="V84" s="24">
        <v>72</v>
      </c>
      <c r="W84" s="24" t="s">
        <v>234</v>
      </c>
      <c r="X84" s="24">
        <v>72</v>
      </c>
      <c r="Y84" s="24" t="s">
        <v>234</v>
      </c>
      <c r="Z84" s="24">
        <v>0</v>
      </c>
      <c r="AA84" s="24"/>
      <c r="AB84" s="24">
        <v>0</v>
      </c>
      <c r="AC84" s="24"/>
      <c r="AD84" s="24">
        <v>288</v>
      </c>
      <c r="AE84" s="24" t="s">
        <v>235</v>
      </c>
      <c r="AF84" s="24">
        <v>297.28800000000001</v>
      </c>
      <c r="AG84" s="24" t="s">
        <v>235</v>
      </c>
      <c r="AH84" s="24">
        <v>504.72</v>
      </c>
      <c r="AI84" s="24" t="s">
        <v>236</v>
      </c>
      <c r="AJ84" s="24">
        <v>4590.6000000000004</v>
      </c>
      <c r="AK84" s="24">
        <v>0</v>
      </c>
      <c r="AL84" s="24">
        <v>0</v>
      </c>
      <c r="AM84" s="24" t="s">
        <v>237</v>
      </c>
      <c r="AN84" s="24">
        <v>0</v>
      </c>
      <c r="AO84" s="24"/>
      <c r="AP84" s="24">
        <v>0</v>
      </c>
      <c r="AT84" t="s">
        <v>152</v>
      </c>
      <c r="AU84" s="8"/>
      <c r="AV84" s="8"/>
      <c r="AW84" s="8"/>
      <c r="AX84" s="8"/>
      <c r="AY84" s="8"/>
      <c r="AZ84" s="8"/>
      <c r="BA84" s="8"/>
      <c r="BB84" s="8"/>
      <c r="BC84" s="8"/>
      <c r="BD84" s="8">
        <v>810</v>
      </c>
      <c r="BE84" s="8"/>
    </row>
    <row r="85" spans="2:57" x14ac:dyDescent="0.3">
      <c r="B85" s="24" t="s">
        <v>272</v>
      </c>
      <c r="C85" s="24" t="s">
        <v>246</v>
      </c>
      <c r="D85" s="24">
        <v>100031</v>
      </c>
      <c r="E85" s="24" t="s">
        <v>224</v>
      </c>
      <c r="F85" s="24">
        <v>4500019879</v>
      </c>
      <c r="G85" s="24">
        <v>30</v>
      </c>
      <c r="H85" s="24"/>
      <c r="I85" s="24" t="s">
        <v>301</v>
      </c>
      <c r="J85" s="24" t="s">
        <v>226</v>
      </c>
      <c r="K85" s="24" t="s">
        <v>227</v>
      </c>
      <c r="L85" s="24" t="s">
        <v>375</v>
      </c>
      <c r="M85" s="24" t="s">
        <v>376</v>
      </c>
      <c r="N85" s="24" t="s">
        <v>230</v>
      </c>
      <c r="O85" s="24" t="s">
        <v>175</v>
      </c>
      <c r="P85" s="24" t="s">
        <v>377</v>
      </c>
      <c r="Q85" s="24" t="s">
        <v>378</v>
      </c>
      <c r="R85" s="24">
        <v>20170918</v>
      </c>
      <c r="S85" s="24" t="s">
        <v>371</v>
      </c>
      <c r="T85" s="24">
        <v>20171018</v>
      </c>
      <c r="U85" s="24">
        <v>0</v>
      </c>
      <c r="V85" s="24">
        <v>66</v>
      </c>
      <c r="W85" s="24" t="s">
        <v>234</v>
      </c>
      <c r="X85" s="24">
        <v>66</v>
      </c>
      <c r="Y85" s="24" t="s">
        <v>234</v>
      </c>
      <c r="Z85" s="24">
        <v>0</v>
      </c>
      <c r="AA85" s="24"/>
      <c r="AB85" s="24">
        <v>0</v>
      </c>
      <c r="AC85" s="24"/>
      <c r="AD85" s="24">
        <v>85.8</v>
      </c>
      <c r="AE85" s="24" t="s">
        <v>235</v>
      </c>
      <c r="AF85" s="24">
        <v>122.232</v>
      </c>
      <c r="AG85" s="24" t="s">
        <v>235</v>
      </c>
      <c r="AH85" s="24">
        <v>727.05600000000004</v>
      </c>
      <c r="AI85" s="24" t="s">
        <v>236</v>
      </c>
      <c r="AJ85" s="24">
        <v>1963.37</v>
      </c>
      <c r="AK85" s="24">
        <v>0</v>
      </c>
      <c r="AL85" s="24">
        <v>0</v>
      </c>
      <c r="AM85" s="24" t="s">
        <v>237</v>
      </c>
      <c r="AN85" s="24">
        <v>0</v>
      </c>
      <c r="AO85" s="24"/>
      <c r="AP85" s="24">
        <v>0</v>
      </c>
      <c r="AT85" t="s">
        <v>153</v>
      </c>
      <c r="AU85" s="8"/>
      <c r="AV85" s="8"/>
      <c r="AW85" s="8"/>
      <c r="AX85" s="8"/>
      <c r="AY85" s="8"/>
      <c r="AZ85" s="8"/>
      <c r="BA85" s="8"/>
      <c r="BB85" s="8"/>
      <c r="BC85" s="8"/>
      <c r="BD85" s="8">
        <v>7</v>
      </c>
      <c r="BE85" s="8"/>
    </row>
    <row r="86" spans="2:57" x14ac:dyDescent="0.3">
      <c r="B86" s="24" t="s">
        <v>272</v>
      </c>
      <c r="C86" s="24" t="s">
        <v>246</v>
      </c>
      <c r="D86" s="24">
        <v>100031</v>
      </c>
      <c r="E86" s="24" t="s">
        <v>224</v>
      </c>
      <c r="F86" s="24">
        <v>4500019879</v>
      </c>
      <c r="G86" s="24">
        <v>40</v>
      </c>
      <c r="H86" s="24"/>
      <c r="I86" s="24" t="s">
        <v>301</v>
      </c>
      <c r="J86" s="24" t="s">
        <v>226</v>
      </c>
      <c r="K86" s="24" t="s">
        <v>227</v>
      </c>
      <c r="L86" s="24" t="s">
        <v>375</v>
      </c>
      <c r="M86" s="24" t="s">
        <v>376</v>
      </c>
      <c r="N86" s="24" t="s">
        <v>230</v>
      </c>
      <c r="O86" s="24" t="s">
        <v>176</v>
      </c>
      <c r="P86" s="24" t="s">
        <v>379</v>
      </c>
      <c r="Q86" s="24" t="s">
        <v>380</v>
      </c>
      <c r="R86" s="24">
        <v>20170918</v>
      </c>
      <c r="S86" s="24" t="s">
        <v>371</v>
      </c>
      <c r="T86" s="24">
        <v>20171018</v>
      </c>
      <c r="U86" s="24">
        <v>0</v>
      </c>
      <c r="V86" s="24">
        <v>23</v>
      </c>
      <c r="W86" s="24" t="s">
        <v>234</v>
      </c>
      <c r="X86" s="24">
        <v>23</v>
      </c>
      <c r="Y86" s="24" t="s">
        <v>234</v>
      </c>
      <c r="Z86" s="24">
        <v>0</v>
      </c>
      <c r="AA86" s="24"/>
      <c r="AB86" s="24">
        <v>0</v>
      </c>
      <c r="AC86" s="24"/>
      <c r="AD86" s="24">
        <v>29.9</v>
      </c>
      <c r="AE86" s="24" t="s">
        <v>235</v>
      </c>
      <c r="AF86" s="24">
        <v>42.78</v>
      </c>
      <c r="AG86" s="24" t="s">
        <v>235</v>
      </c>
      <c r="AH86" s="24">
        <v>253.36799999999999</v>
      </c>
      <c r="AI86" s="24" t="s">
        <v>236</v>
      </c>
      <c r="AJ86" s="24">
        <v>684.2</v>
      </c>
      <c r="AK86" s="24">
        <v>0</v>
      </c>
      <c r="AL86" s="24">
        <v>0</v>
      </c>
      <c r="AM86" s="24" t="s">
        <v>237</v>
      </c>
      <c r="AN86" s="24">
        <v>0</v>
      </c>
      <c r="AO86" s="24"/>
      <c r="AP86" s="24">
        <v>0</v>
      </c>
      <c r="AT86" t="s">
        <v>158</v>
      </c>
      <c r="AU86" s="8"/>
      <c r="AV86" s="8"/>
      <c r="AW86" s="8"/>
      <c r="AX86" s="8"/>
      <c r="AY86" s="8"/>
      <c r="AZ86" s="8"/>
      <c r="BA86" s="8"/>
      <c r="BB86" s="8"/>
      <c r="BC86" s="8"/>
      <c r="BD86" s="8">
        <v>159</v>
      </c>
      <c r="BE86" s="8"/>
    </row>
    <row r="87" spans="2:57" x14ac:dyDescent="0.3">
      <c r="B87" s="24" t="s">
        <v>272</v>
      </c>
      <c r="C87" s="24" t="s">
        <v>246</v>
      </c>
      <c r="D87" s="24">
        <v>100031</v>
      </c>
      <c r="E87" s="24" t="s">
        <v>224</v>
      </c>
      <c r="F87" s="24">
        <v>4500019879</v>
      </c>
      <c r="G87" s="24">
        <v>50</v>
      </c>
      <c r="H87" s="24"/>
      <c r="I87" s="24" t="s">
        <v>301</v>
      </c>
      <c r="J87" s="24" t="s">
        <v>226</v>
      </c>
      <c r="K87" s="24" t="s">
        <v>227</v>
      </c>
      <c r="L87" s="24" t="s">
        <v>375</v>
      </c>
      <c r="M87" s="24" t="s">
        <v>376</v>
      </c>
      <c r="N87" s="24" t="s">
        <v>230</v>
      </c>
      <c r="O87" s="24" t="s">
        <v>177</v>
      </c>
      <c r="P87" s="24" t="s">
        <v>381</v>
      </c>
      <c r="Q87" s="24" t="s">
        <v>382</v>
      </c>
      <c r="R87" s="24">
        <v>20170918</v>
      </c>
      <c r="S87" s="24" t="s">
        <v>371</v>
      </c>
      <c r="T87" s="24">
        <v>20171018</v>
      </c>
      <c r="U87" s="24">
        <v>0</v>
      </c>
      <c r="V87" s="24">
        <v>54</v>
      </c>
      <c r="W87" s="24" t="s">
        <v>234</v>
      </c>
      <c r="X87" s="24">
        <v>54</v>
      </c>
      <c r="Y87" s="24" t="s">
        <v>234</v>
      </c>
      <c r="Z87" s="24">
        <v>0</v>
      </c>
      <c r="AA87" s="24"/>
      <c r="AB87" s="24">
        <v>0</v>
      </c>
      <c r="AC87" s="24"/>
      <c r="AD87" s="24">
        <v>70.2</v>
      </c>
      <c r="AE87" s="24" t="s">
        <v>235</v>
      </c>
      <c r="AF87" s="24">
        <v>100.008</v>
      </c>
      <c r="AG87" s="24" t="s">
        <v>235</v>
      </c>
      <c r="AH87" s="24">
        <v>594.86400000000003</v>
      </c>
      <c r="AI87" s="24" t="s">
        <v>236</v>
      </c>
      <c r="AJ87" s="24">
        <v>1641.96</v>
      </c>
      <c r="AK87" s="24">
        <v>0</v>
      </c>
      <c r="AL87" s="24">
        <v>0</v>
      </c>
      <c r="AM87" s="24" t="s">
        <v>237</v>
      </c>
      <c r="AN87" s="24">
        <v>0</v>
      </c>
      <c r="AO87" s="24"/>
      <c r="AP87" s="24">
        <v>0</v>
      </c>
      <c r="AT87" t="s">
        <v>161</v>
      </c>
      <c r="AU87" s="8"/>
      <c r="AV87" s="8"/>
      <c r="AW87" s="8"/>
      <c r="AX87" s="8"/>
      <c r="AY87" s="8"/>
      <c r="AZ87" s="8"/>
      <c r="BA87" s="8"/>
      <c r="BB87" s="8"/>
      <c r="BC87" s="8"/>
      <c r="BD87" s="8">
        <v>180</v>
      </c>
      <c r="BE87" s="8"/>
    </row>
    <row r="88" spans="2:57" x14ac:dyDescent="0.3">
      <c r="B88" s="24" t="s">
        <v>272</v>
      </c>
      <c r="C88" s="24" t="s">
        <v>246</v>
      </c>
      <c r="D88" s="24">
        <v>100031</v>
      </c>
      <c r="E88" s="24" t="s">
        <v>224</v>
      </c>
      <c r="F88" s="24">
        <v>4500019879</v>
      </c>
      <c r="G88" s="24">
        <v>60</v>
      </c>
      <c r="H88" s="24"/>
      <c r="I88" s="24" t="s">
        <v>301</v>
      </c>
      <c r="J88" s="24" t="s">
        <v>226</v>
      </c>
      <c r="K88" s="24" t="s">
        <v>227</v>
      </c>
      <c r="L88" s="24" t="s">
        <v>375</v>
      </c>
      <c r="M88" s="24" t="s">
        <v>383</v>
      </c>
      <c r="N88" s="24" t="s">
        <v>230</v>
      </c>
      <c r="O88" s="24" t="s">
        <v>178</v>
      </c>
      <c r="P88" s="24" t="s">
        <v>384</v>
      </c>
      <c r="Q88" s="24" t="s">
        <v>385</v>
      </c>
      <c r="R88" s="24">
        <v>20170918</v>
      </c>
      <c r="S88" s="24" t="s">
        <v>371</v>
      </c>
      <c r="T88" s="24">
        <v>20171018</v>
      </c>
      <c r="U88" s="24">
        <v>0</v>
      </c>
      <c r="V88" s="24">
        <v>3</v>
      </c>
      <c r="W88" s="24" t="s">
        <v>234</v>
      </c>
      <c r="X88" s="24">
        <v>3</v>
      </c>
      <c r="Y88" s="24" t="s">
        <v>234</v>
      </c>
      <c r="Z88" s="24">
        <v>0</v>
      </c>
      <c r="AA88" s="24"/>
      <c r="AB88" s="24">
        <v>0</v>
      </c>
      <c r="AC88" s="24"/>
      <c r="AD88" s="24">
        <v>9</v>
      </c>
      <c r="AE88" s="24" t="s">
        <v>235</v>
      </c>
      <c r="AF88" s="24">
        <v>9.9</v>
      </c>
      <c r="AG88" s="24" t="s">
        <v>235</v>
      </c>
      <c r="AH88" s="24">
        <v>49.74</v>
      </c>
      <c r="AI88" s="24" t="s">
        <v>236</v>
      </c>
      <c r="AJ88" s="24">
        <v>96.15</v>
      </c>
      <c r="AK88" s="24">
        <v>0</v>
      </c>
      <c r="AL88" s="24">
        <v>0</v>
      </c>
      <c r="AM88" s="24" t="s">
        <v>237</v>
      </c>
      <c r="AN88" s="24">
        <v>0</v>
      </c>
      <c r="AO88" s="24"/>
      <c r="AP88" s="24">
        <v>0</v>
      </c>
      <c r="AT88" t="s">
        <v>163</v>
      </c>
      <c r="AU88" s="8"/>
      <c r="AV88" s="8"/>
      <c r="AW88" s="8"/>
      <c r="AX88" s="8"/>
      <c r="AY88" s="8"/>
      <c r="AZ88" s="8"/>
      <c r="BA88" s="8"/>
      <c r="BB88" s="8"/>
      <c r="BC88" s="8"/>
      <c r="BD88" s="8">
        <v>10</v>
      </c>
      <c r="BE88" s="8"/>
    </row>
    <row r="89" spans="2:57" x14ac:dyDescent="0.3">
      <c r="B89" s="24" t="s">
        <v>272</v>
      </c>
      <c r="C89" s="24" t="s">
        <v>246</v>
      </c>
      <c r="D89" s="24">
        <v>100031</v>
      </c>
      <c r="E89" s="24" t="s">
        <v>224</v>
      </c>
      <c r="F89" s="24">
        <v>4500019879</v>
      </c>
      <c r="G89" s="24">
        <v>70</v>
      </c>
      <c r="H89" s="24"/>
      <c r="I89" s="24" t="s">
        <v>301</v>
      </c>
      <c r="J89" s="24" t="s">
        <v>226</v>
      </c>
      <c r="K89" s="24" t="s">
        <v>227</v>
      </c>
      <c r="L89" s="24" t="s">
        <v>375</v>
      </c>
      <c r="M89" s="24" t="s">
        <v>383</v>
      </c>
      <c r="N89" s="24" t="s">
        <v>230</v>
      </c>
      <c r="O89" s="24" t="s">
        <v>179</v>
      </c>
      <c r="P89" s="24" t="s">
        <v>386</v>
      </c>
      <c r="Q89" s="24" t="s">
        <v>387</v>
      </c>
      <c r="R89" s="24">
        <v>20170918</v>
      </c>
      <c r="S89" s="24" t="s">
        <v>371</v>
      </c>
      <c r="T89" s="24">
        <v>20171018</v>
      </c>
      <c r="U89" s="24">
        <v>0</v>
      </c>
      <c r="V89" s="24">
        <v>2</v>
      </c>
      <c r="W89" s="24" t="s">
        <v>234</v>
      </c>
      <c r="X89" s="24">
        <v>2</v>
      </c>
      <c r="Y89" s="24" t="s">
        <v>234</v>
      </c>
      <c r="Z89" s="24">
        <v>0</v>
      </c>
      <c r="AA89" s="24"/>
      <c r="AB89" s="24">
        <v>0</v>
      </c>
      <c r="AC89" s="24"/>
      <c r="AD89" s="24">
        <v>6</v>
      </c>
      <c r="AE89" s="24" t="s">
        <v>235</v>
      </c>
      <c r="AF89" s="24">
        <v>6.6</v>
      </c>
      <c r="AG89" s="24" t="s">
        <v>235</v>
      </c>
      <c r="AH89" s="24">
        <v>33.159999999999997</v>
      </c>
      <c r="AI89" s="24" t="s">
        <v>236</v>
      </c>
      <c r="AJ89" s="24">
        <v>65.25</v>
      </c>
      <c r="AK89" s="24">
        <v>0</v>
      </c>
      <c r="AL89" s="24">
        <v>0</v>
      </c>
      <c r="AM89" s="24" t="s">
        <v>237</v>
      </c>
      <c r="AN89" s="24">
        <v>0</v>
      </c>
      <c r="AO89" s="24"/>
      <c r="AP89" s="24">
        <v>0</v>
      </c>
      <c r="AT89" t="s">
        <v>164</v>
      </c>
      <c r="AU89" s="8"/>
      <c r="AV89" s="8"/>
      <c r="AW89" s="8"/>
      <c r="AX89" s="8"/>
      <c r="AY89" s="8"/>
      <c r="AZ89" s="8"/>
      <c r="BA89" s="8"/>
      <c r="BB89" s="8"/>
      <c r="BC89" s="8"/>
      <c r="BD89" s="8">
        <v>30</v>
      </c>
      <c r="BE89" s="8"/>
    </row>
    <row r="90" spans="2:57" x14ac:dyDescent="0.3">
      <c r="B90" s="24" t="s">
        <v>272</v>
      </c>
      <c r="C90" s="24" t="s">
        <v>246</v>
      </c>
      <c r="D90" s="24">
        <v>100031</v>
      </c>
      <c r="E90" s="24" t="s">
        <v>224</v>
      </c>
      <c r="F90" s="24">
        <v>4500019879</v>
      </c>
      <c r="G90" s="24">
        <v>80</v>
      </c>
      <c r="H90" s="24"/>
      <c r="I90" s="24" t="s">
        <v>301</v>
      </c>
      <c r="J90" s="24" t="s">
        <v>226</v>
      </c>
      <c r="K90" s="24" t="s">
        <v>227</v>
      </c>
      <c r="L90" s="24" t="s">
        <v>302</v>
      </c>
      <c r="M90" s="24" t="s">
        <v>303</v>
      </c>
      <c r="N90" s="24" t="s">
        <v>230</v>
      </c>
      <c r="O90" s="24" t="s">
        <v>180</v>
      </c>
      <c r="P90" s="24" t="s">
        <v>388</v>
      </c>
      <c r="Q90" s="24" t="s">
        <v>389</v>
      </c>
      <c r="R90" s="24">
        <v>20170918</v>
      </c>
      <c r="S90" s="24" t="s">
        <v>371</v>
      </c>
      <c r="T90" s="24">
        <v>20171018</v>
      </c>
      <c r="U90" s="24">
        <v>0</v>
      </c>
      <c r="V90" s="24">
        <v>8</v>
      </c>
      <c r="W90" s="24" t="s">
        <v>234</v>
      </c>
      <c r="X90" s="24">
        <v>8</v>
      </c>
      <c r="Y90" s="24" t="s">
        <v>234</v>
      </c>
      <c r="Z90" s="24">
        <v>0</v>
      </c>
      <c r="AA90" s="24"/>
      <c r="AB90" s="24">
        <v>0</v>
      </c>
      <c r="AC90" s="24"/>
      <c r="AD90" s="24">
        <v>8</v>
      </c>
      <c r="AE90" s="24" t="s">
        <v>235</v>
      </c>
      <c r="AF90" s="24">
        <v>8.8000000000000007</v>
      </c>
      <c r="AG90" s="24" t="s">
        <v>235</v>
      </c>
      <c r="AH90" s="24">
        <v>24</v>
      </c>
      <c r="AI90" s="24" t="s">
        <v>236</v>
      </c>
      <c r="AJ90" s="24">
        <v>165.8</v>
      </c>
      <c r="AK90" s="24">
        <v>0</v>
      </c>
      <c r="AL90" s="24">
        <v>0</v>
      </c>
      <c r="AM90" s="24" t="s">
        <v>237</v>
      </c>
      <c r="AN90" s="24">
        <v>0</v>
      </c>
      <c r="AO90" s="24"/>
      <c r="AP90" s="24">
        <v>0</v>
      </c>
      <c r="AT90" t="s">
        <v>166</v>
      </c>
      <c r="AU90" s="8"/>
      <c r="AV90" s="8"/>
      <c r="AW90" s="8"/>
      <c r="AX90" s="8"/>
      <c r="AY90" s="8"/>
      <c r="AZ90" s="8"/>
      <c r="BA90" s="8"/>
      <c r="BB90" s="8"/>
      <c r="BC90" s="8"/>
      <c r="BD90" s="8">
        <v>99</v>
      </c>
      <c r="BE90" s="8"/>
    </row>
    <row r="91" spans="2:57" x14ac:dyDescent="0.3">
      <c r="B91" s="24" t="s">
        <v>272</v>
      </c>
      <c r="C91" s="24" t="s">
        <v>246</v>
      </c>
      <c r="D91" s="24">
        <v>100031</v>
      </c>
      <c r="E91" s="24" t="s">
        <v>224</v>
      </c>
      <c r="F91" s="24">
        <v>4500019879</v>
      </c>
      <c r="G91" s="24">
        <v>90</v>
      </c>
      <c r="H91" s="24"/>
      <c r="I91" s="24" t="s">
        <v>301</v>
      </c>
      <c r="J91" s="24" t="s">
        <v>226</v>
      </c>
      <c r="K91" s="24" t="s">
        <v>227</v>
      </c>
      <c r="L91" s="24" t="s">
        <v>228</v>
      </c>
      <c r="M91" s="24" t="s">
        <v>390</v>
      </c>
      <c r="N91" s="24" t="s">
        <v>230</v>
      </c>
      <c r="O91" s="24" t="s">
        <v>181</v>
      </c>
      <c r="P91" s="24" t="s">
        <v>391</v>
      </c>
      <c r="Q91" s="24" t="s">
        <v>392</v>
      </c>
      <c r="R91" s="24">
        <v>20170918</v>
      </c>
      <c r="S91" s="24" t="s">
        <v>371</v>
      </c>
      <c r="T91" s="24">
        <v>20171018</v>
      </c>
      <c r="U91" s="24">
        <v>0</v>
      </c>
      <c r="V91" s="24">
        <v>12</v>
      </c>
      <c r="W91" s="24" t="s">
        <v>234</v>
      </c>
      <c r="X91" s="24">
        <v>12</v>
      </c>
      <c r="Y91" s="24" t="s">
        <v>234</v>
      </c>
      <c r="Z91" s="24">
        <v>0</v>
      </c>
      <c r="AA91" s="24"/>
      <c r="AB91" s="24">
        <v>0</v>
      </c>
      <c r="AC91" s="24"/>
      <c r="AD91" s="24">
        <v>12</v>
      </c>
      <c r="AE91" s="24" t="s">
        <v>235</v>
      </c>
      <c r="AF91" s="24">
        <v>13.2</v>
      </c>
      <c r="AG91" s="24" t="s">
        <v>235</v>
      </c>
      <c r="AH91" s="24">
        <v>2.4</v>
      </c>
      <c r="AI91" s="24" t="s">
        <v>236</v>
      </c>
      <c r="AJ91" s="24">
        <v>47.24</v>
      </c>
      <c r="AK91" s="24">
        <v>0</v>
      </c>
      <c r="AL91" s="24">
        <v>0</v>
      </c>
      <c r="AM91" s="24" t="s">
        <v>237</v>
      </c>
      <c r="AN91" s="24">
        <v>0</v>
      </c>
      <c r="AO91" s="24"/>
      <c r="AP91" s="24">
        <v>0</v>
      </c>
      <c r="AT91" t="s">
        <v>169</v>
      </c>
      <c r="AU91" s="8"/>
      <c r="AV91" s="8"/>
      <c r="AW91" s="8"/>
      <c r="AX91" s="8"/>
      <c r="AY91" s="8"/>
      <c r="AZ91" s="8"/>
      <c r="BA91" s="8"/>
      <c r="BB91" s="8"/>
      <c r="BC91" s="8"/>
      <c r="BD91" s="8">
        <v>9</v>
      </c>
      <c r="BE91" s="8"/>
    </row>
    <row r="92" spans="2:57" x14ac:dyDescent="0.3">
      <c r="B92" s="24" t="s">
        <v>272</v>
      </c>
      <c r="C92" s="24" t="s">
        <v>246</v>
      </c>
      <c r="D92" s="24">
        <v>100031</v>
      </c>
      <c r="E92" s="24" t="s">
        <v>224</v>
      </c>
      <c r="F92" s="24">
        <v>4500019879</v>
      </c>
      <c r="G92" s="24">
        <v>100</v>
      </c>
      <c r="H92" s="24"/>
      <c r="I92" s="24" t="s">
        <v>301</v>
      </c>
      <c r="J92" s="24" t="s">
        <v>226</v>
      </c>
      <c r="K92" s="24" t="s">
        <v>227</v>
      </c>
      <c r="L92" s="24" t="s">
        <v>228</v>
      </c>
      <c r="M92" s="24" t="s">
        <v>393</v>
      </c>
      <c r="N92" s="24" t="s">
        <v>230</v>
      </c>
      <c r="O92" s="24" t="s">
        <v>182</v>
      </c>
      <c r="P92" s="24" t="s">
        <v>394</v>
      </c>
      <c r="Q92" s="24" t="s">
        <v>395</v>
      </c>
      <c r="R92" s="24">
        <v>20170918</v>
      </c>
      <c r="S92" s="24" t="s">
        <v>371</v>
      </c>
      <c r="T92" s="24">
        <v>20171018</v>
      </c>
      <c r="U92" s="24">
        <v>0</v>
      </c>
      <c r="V92" s="24">
        <v>42</v>
      </c>
      <c r="W92" s="24" t="s">
        <v>234</v>
      </c>
      <c r="X92" s="24">
        <v>42</v>
      </c>
      <c r="Y92" s="24" t="s">
        <v>234</v>
      </c>
      <c r="Z92" s="24">
        <v>0</v>
      </c>
      <c r="AA92" s="24"/>
      <c r="AB92" s="24">
        <v>0</v>
      </c>
      <c r="AC92" s="24"/>
      <c r="AD92" s="24">
        <v>42</v>
      </c>
      <c r="AE92" s="24" t="s">
        <v>235</v>
      </c>
      <c r="AF92" s="24">
        <v>47.963999999999999</v>
      </c>
      <c r="AG92" s="24" t="s">
        <v>235</v>
      </c>
      <c r="AH92" s="24">
        <v>123.60599999999999</v>
      </c>
      <c r="AI92" s="24" t="s">
        <v>236</v>
      </c>
      <c r="AJ92" s="24">
        <v>395.65</v>
      </c>
      <c r="AK92" s="24">
        <v>0</v>
      </c>
      <c r="AL92" s="24">
        <v>0</v>
      </c>
      <c r="AM92" s="24" t="s">
        <v>237</v>
      </c>
      <c r="AN92" s="24">
        <v>0</v>
      </c>
      <c r="AO92" s="24"/>
      <c r="AP92" s="24">
        <v>0</v>
      </c>
      <c r="AT92" t="s">
        <v>171</v>
      </c>
      <c r="AU92" s="8"/>
      <c r="AV92" s="8"/>
      <c r="AW92" s="8"/>
      <c r="AX92" s="8"/>
      <c r="AY92" s="8"/>
      <c r="AZ92" s="8"/>
      <c r="BA92" s="8"/>
      <c r="BB92" s="8"/>
      <c r="BC92" s="8"/>
      <c r="BD92" s="8">
        <v>2</v>
      </c>
      <c r="BE92" s="8"/>
    </row>
    <row r="93" spans="2:57" x14ac:dyDescent="0.3">
      <c r="B93" s="24" t="s">
        <v>272</v>
      </c>
      <c r="C93" s="24" t="s">
        <v>246</v>
      </c>
      <c r="D93" s="24">
        <v>100031</v>
      </c>
      <c r="E93" s="24" t="s">
        <v>224</v>
      </c>
      <c r="F93" s="24">
        <v>4500019879</v>
      </c>
      <c r="G93" s="24">
        <v>110</v>
      </c>
      <c r="H93" s="24"/>
      <c r="I93" s="24" t="s">
        <v>301</v>
      </c>
      <c r="J93" s="24" t="s">
        <v>226</v>
      </c>
      <c r="K93" s="24" t="s">
        <v>227</v>
      </c>
      <c r="L93" s="24" t="s">
        <v>274</v>
      </c>
      <c r="M93" s="24" t="s">
        <v>303</v>
      </c>
      <c r="N93" s="24" t="s">
        <v>230</v>
      </c>
      <c r="O93" s="24" t="s">
        <v>183</v>
      </c>
      <c r="P93" s="24" t="s">
        <v>396</v>
      </c>
      <c r="Q93" s="24" t="s">
        <v>397</v>
      </c>
      <c r="R93" s="24">
        <v>20170918</v>
      </c>
      <c r="S93" s="24" t="s">
        <v>371</v>
      </c>
      <c r="T93" s="24">
        <v>20171018</v>
      </c>
      <c r="U93" s="24">
        <v>0</v>
      </c>
      <c r="V93" s="24">
        <v>1</v>
      </c>
      <c r="W93" s="24" t="s">
        <v>234</v>
      </c>
      <c r="X93" s="24">
        <v>1</v>
      </c>
      <c r="Y93" s="24" t="s">
        <v>234</v>
      </c>
      <c r="Z93" s="24">
        <v>0</v>
      </c>
      <c r="AA93" s="24"/>
      <c r="AB93" s="24">
        <v>0</v>
      </c>
      <c r="AC93" s="24"/>
      <c r="AD93" s="24">
        <v>1.2</v>
      </c>
      <c r="AE93" s="24" t="s">
        <v>235</v>
      </c>
      <c r="AF93" s="24">
        <v>1.4</v>
      </c>
      <c r="AG93" s="24" t="s">
        <v>235</v>
      </c>
      <c r="AH93" s="24">
        <v>12</v>
      </c>
      <c r="AI93" s="24" t="s">
        <v>236</v>
      </c>
      <c r="AJ93" s="24">
        <v>30.45</v>
      </c>
      <c r="AK93" s="24">
        <v>0</v>
      </c>
      <c r="AL93" s="24">
        <v>0</v>
      </c>
      <c r="AM93" s="24" t="s">
        <v>237</v>
      </c>
      <c r="AN93" s="24">
        <v>0</v>
      </c>
      <c r="AO93" s="24"/>
      <c r="AP93" s="24">
        <v>0</v>
      </c>
      <c r="AT93" t="s">
        <v>172</v>
      </c>
      <c r="AU93" s="8"/>
      <c r="AV93" s="8"/>
      <c r="AW93" s="8"/>
      <c r="AX93" s="8"/>
      <c r="AY93" s="8"/>
      <c r="AZ93" s="8"/>
      <c r="BA93" s="8"/>
      <c r="BB93" s="8"/>
      <c r="BC93" s="8"/>
      <c r="BD93" s="8">
        <v>6</v>
      </c>
      <c r="BE93" s="8"/>
    </row>
    <row r="94" spans="2:57" x14ac:dyDescent="0.3">
      <c r="B94" s="24" t="s">
        <v>272</v>
      </c>
      <c r="C94" s="24" t="s">
        <v>246</v>
      </c>
      <c r="D94" s="24">
        <v>100031</v>
      </c>
      <c r="E94" s="24" t="s">
        <v>224</v>
      </c>
      <c r="F94" s="24">
        <v>4500019879</v>
      </c>
      <c r="G94" s="24">
        <v>120</v>
      </c>
      <c r="H94" s="24"/>
      <c r="I94" s="24" t="s">
        <v>301</v>
      </c>
      <c r="J94" s="24" t="s">
        <v>226</v>
      </c>
      <c r="K94" s="24" t="s">
        <v>227</v>
      </c>
      <c r="L94" s="24" t="s">
        <v>274</v>
      </c>
      <c r="M94" s="24" t="s">
        <v>303</v>
      </c>
      <c r="N94" s="24" t="s">
        <v>230</v>
      </c>
      <c r="O94" s="24" t="s">
        <v>184</v>
      </c>
      <c r="P94" s="24" t="s">
        <v>398</v>
      </c>
      <c r="Q94" s="24" t="s">
        <v>399</v>
      </c>
      <c r="R94" s="24">
        <v>20170918</v>
      </c>
      <c r="S94" s="24" t="s">
        <v>371</v>
      </c>
      <c r="T94" s="24">
        <v>20171018</v>
      </c>
      <c r="U94" s="24">
        <v>0</v>
      </c>
      <c r="V94" s="24">
        <v>5</v>
      </c>
      <c r="W94" s="24" t="s">
        <v>234</v>
      </c>
      <c r="X94" s="24">
        <v>5</v>
      </c>
      <c r="Y94" s="24" t="s">
        <v>234</v>
      </c>
      <c r="Z94" s="24">
        <v>0</v>
      </c>
      <c r="AA94" s="24"/>
      <c r="AB94" s="24">
        <v>0</v>
      </c>
      <c r="AC94" s="24"/>
      <c r="AD94" s="24">
        <v>5</v>
      </c>
      <c r="AE94" s="24" t="s">
        <v>235</v>
      </c>
      <c r="AF94" s="24">
        <v>5.22</v>
      </c>
      <c r="AG94" s="24" t="s">
        <v>235</v>
      </c>
      <c r="AH94" s="24">
        <v>18.36</v>
      </c>
      <c r="AI94" s="24" t="s">
        <v>236</v>
      </c>
      <c r="AJ94" s="24">
        <v>100.74</v>
      </c>
      <c r="AK94" s="24">
        <v>0</v>
      </c>
      <c r="AL94" s="24">
        <v>0</v>
      </c>
      <c r="AM94" s="24" t="s">
        <v>237</v>
      </c>
      <c r="AN94" s="24">
        <v>0</v>
      </c>
      <c r="AO94" s="24"/>
      <c r="AP94" s="24">
        <v>0</v>
      </c>
      <c r="AS94">
        <v>4500019879</v>
      </c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</row>
    <row r="95" spans="2:57" x14ac:dyDescent="0.3">
      <c r="B95" s="24" t="s">
        <v>272</v>
      </c>
      <c r="C95" s="24" t="s">
        <v>246</v>
      </c>
      <c r="D95" s="24">
        <v>100031</v>
      </c>
      <c r="E95" s="24" t="s">
        <v>224</v>
      </c>
      <c r="F95" s="24">
        <v>4500019879</v>
      </c>
      <c r="G95" s="24">
        <v>130</v>
      </c>
      <c r="H95" s="24"/>
      <c r="I95" s="24" t="s">
        <v>301</v>
      </c>
      <c r="J95" s="24" t="s">
        <v>226</v>
      </c>
      <c r="K95" s="24" t="s">
        <v>227</v>
      </c>
      <c r="L95" s="24" t="s">
        <v>302</v>
      </c>
      <c r="M95" s="24" t="s">
        <v>303</v>
      </c>
      <c r="N95" s="24" t="s">
        <v>230</v>
      </c>
      <c r="O95" s="24" t="s">
        <v>185</v>
      </c>
      <c r="P95" s="24" t="s">
        <v>400</v>
      </c>
      <c r="Q95" s="24" t="s">
        <v>401</v>
      </c>
      <c r="R95" s="24">
        <v>20170918</v>
      </c>
      <c r="S95" s="24" t="s">
        <v>371</v>
      </c>
      <c r="T95" s="24">
        <v>20171018</v>
      </c>
      <c r="U95" s="24">
        <v>0</v>
      </c>
      <c r="V95" s="24">
        <v>15</v>
      </c>
      <c r="W95" s="24" t="s">
        <v>234</v>
      </c>
      <c r="X95" s="24">
        <v>15</v>
      </c>
      <c r="Y95" s="24" t="s">
        <v>234</v>
      </c>
      <c r="Z95" s="24">
        <v>0</v>
      </c>
      <c r="AA95" s="24"/>
      <c r="AB95" s="24">
        <v>0</v>
      </c>
      <c r="AC95" s="24"/>
      <c r="AD95" s="24">
        <v>15</v>
      </c>
      <c r="AE95" s="24" t="s">
        <v>235</v>
      </c>
      <c r="AF95" s="24">
        <v>18</v>
      </c>
      <c r="AG95" s="24" t="s">
        <v>235</v>
      </c>
      <c r="AH95" s="24">
        <v>76.5</v>
      </c>
      <c r="AI95" s="24" t="s">
        <v>236</v>
      </c>
      <c r="AJ95" s="24">
        <v>217.8</v>
      </c>
      <c r="AK95" s="24">
        <v>0</v>
      </c>
      <c r="AL95" s="24">
        <v>0</v>
      </c>
      <c r="AM95" s="24" t="s">
        <v>237</v>
      </c>
      <c r="AN95" s="24">
        <v>0</v>
      </c>
      <c r="AO95" s="24"/>
      <c r="AP95" s="24">
        <v>0</v>
      </c>
      <c r="AT95" t="s">
        <v>173</v>
      </c>
      <c r="AU95" s="8"/>
      <c r="AV95" s="8"/>
      <c r="AW95" s="8"/>
      <c r="AX95" s="8"/>
      <c r="AY95" s="8"/>
      <c r="AZ95" s="8"/>
      <c r="BA95" s="8"/>
      <c r="BB95" s="8">
        <v>9</v>
      </c>
      <c r="BC95" s="8"/>
      <c r="BD95" s="8"/>
      <c r="BE95" s="8"/>
    </row>
    <row r="96" spans="2:57" x14ac:dyDescent="0.3">
      <c r="B96" s="24" t="s">
        <v>272</v>
      </c>
      <c r="C96" s="24" t="s">
        <v>246</v>
      </c>
      <c r="D96" s="24">
        <v>100031</v>
      </c>
      <c r="E96" s="24" t="s">
        <v>224</v>
      </c>
      <c r="F96" s="24">
        <v>4500019879</v>
      </c>
      <c r="G96" s="24">
        <v>140</v>
      </c>
      <c r="H96" s="24"/>
      <c r="I96" s="24" t="s">
        <v>301</v>
      </c>
      <c r="J96" s="24" t="s">
        <v>226</v>
      </c>
      <c r="K96" s="24" t="s">
        <v>227</v>
      </c>
      <c r="L96" s="24" t="s">
        <v>274</v>
      </c>
      <c r="M96" s="24" t="s">
        <v>303</v>
      </c>
      <c r="N96" s="24" t="s">
        <v>230</v>
      </c>
      <c r="O96" s="24" t="s">
        <v>186</v>
      </c>
      <c r="P96" s="24" t="s">
        <v>402</v>
      </c>
      <c r="Q96" s="24" t="s">
        <v>403</v>
      </c>
      <c r="R96" s="24">
        <v>20170918</v>
      </c>
      <c r="S96" s="24" t="s">
        <v>371</v>
      </c>
      <c r="T96" s="24">
        <v>20171018</v>
      </c>
      <c r="U96" s="24">
        <v>0</v>
      </c>
      <c r="V96" s="24">
        <v>3</v>
      </c>
      <c r="W96" s="24" t="s">
        <v>234</v>
      </c>
      <c r="X96" s="24">
        <v>3</v>
      </c>
      <c r="Y96" s="24" t="s">
        <v>234</v>
      </c>
      <c r="Z96" s="24">
        <v>0</v>
      </c>
      <c r="AA96" s="24"/>
      <c r="AB96" s="24">
        <v>0</v>
      </c>
      <c r="AC96" s="24"/>
      <c r="AD96" s="24">
        <v>6</v>
      </c>
      <c r="AE96" s="24" t="s">
        <v>235</v>
      </c>
      <c r="AF96" s="24">
        <v>7.2</v>
      </c>
      <c r="AG96" s="24" t="s">
        <v>235</v>
      </c>
      <c r="AH96" s="24">
        <v>21.263999999999999</v>
      </c>
      <c r="AI96" s="24" t="s">
        <v>236</v>
      </c>
      <c r="AJ96" s="24">
        <v>138.19</v>
      </c>
      <c r="AK96" s="24">
        <v>0</v>
      </c>
      <c r="AL96" s="24">
        <v>0</v>
      </c>
      <c r="AM96" s="24" t="s">
        <v>237</v>
      </c>
      <c r="AN96" s="24">
        <v>0</v>
      </c>
      <c r="AO96" s="24"/>
      <c r="AP96" s="24">
        <v>0</v>
      </c>
      <c r="AT96" t="s">
        <v>174</v>
      </c>
      <c r="AU96" s="8"/>
      <c r="AV96" s="8"/>
      <c r="AW96" s="8"/>
      <c r="AX96" s="8"/>
      <c r="AY96" s="8"/>
      <c r="AZ96" s="8"/>
      <c r="BA96" s="8"/>
      <c r="BB96" s="8">
        <v>72</v>
      </c>
      <c r="BC96" s="8"/>
      <c r="BD96" s="8"/>
      <c r="BE96" s="8"/>
    </row>
    <row r="97" spans="2:57" x14ac:dyDescent="0.3">
      <c r="B97" s="24" t="s">
        <v>272</v>
      </c>
      <c r="C97" s="24" t="s">
        <v>246</v>
      </c>
      <c r="D97" s="24">
        <v>100031</v>
      </c>
      <c r="E97" s="24" t="s">
        <v>224</v>
      </c>
      <c r="F97" s="24">
        <v>4500019879</v>
      </c>
      <c r="G97" s="24">
        <v>150</v>
      </c>
      <c r="H97" s="24"/>
      <c r="I97" s="24" t="s">
        <v>301</v>
      </c>
      <c r="J97" s="24" t="s">
        <v>226</v>
      </c>
      <c r="K97" s="24" t="s">
        <v>227</v>
      </c>
      <c r="L97" s="24" t="s">
        <v>274</v>
      </c>
      <c r="M97" s="24" t="s">
        <v>303</v>
      </c>
      <c r="N97" s="24" t="s">
        <v>230</v>
      </c>
      <c r="O97" s="24" t="s">
        <v>187</v>
      </c>
      <c r="P97" s="24" t="s">
        <v>404</v>
      </c>
      <c r="Q97" s="24" t="s">
        <v>405</v>
      </c>
      <c r="R97" s="24">
        <v>20170918</v>
      </c>
      <c r="S97" s="24" t="s">
        <v>371</v>
      </c>
      <c r="T97" s="24">
        <v>20171018</v>
      </c>
      <c r="U97" s="24">
        <v>0</v>
      </c>
      <c r="V97" s="24">
        <v>21</v>
      </c>
      <c r="W97" s="24" t="s">
        <v>234</v>
      </c>
      <c r="X97" s="24">
        <v>21</v>
      </c>
      <c r="Y97" s="24" t="s">
        <v>234</v>
      </c>
      <c r="Z97" s="24">
        <v>0</v>
      </c>
      <c r="AA97" s="24"/>
      <c r="AB97" s="24">
        <v>0</v>
      </c>
      <c r="AC97" s="24"/>
      <c r="AD97" s="24">
        <v>26.67</v>
      </c>
      <c r="AE97" s="24" t="s">
        <v>235</v>
      </c>
      <c r="AF97" s="24">
        <v>30.87</v>
      </c>
      <c r="AG97" s="24" t="s">
        <v>235</v>
      </c>
      <c r="AH97" s="24">
        <v>252</v>
      </c>
      <c r="AI97" s="24" t="s">
        <v>236</v>
      </c>
      <c r="AJ97" s="24">
        <v>639.57000000000005</v>
      </c>
      <c r="AK97" s="24">
        <v>0</v>
      </c>
      <c r="AL97" s="24">
        <v>0</v>
      </c>
      <c r="AM97" s="24" t="s">
        <v>237</v>
      </c>
      <c r="AN97" s="24">
        <v>0</v>
      </c>
      <c r="AO97" s="24"/>
      <c r="AP97" s="24">
        <v>0</v>
      </c>
      <c r="AT97" t="s">
        <v>175</v>
      </c>
      <c r="AU97" s="8"/>
      <c r="AV97" s="8"/>
      <c r="AW97" s="8"/>
      <c r="AX97" s="8"/>
      <c r="AY97" s="8"/>
      <c r="AZ97" s="8"/>
      <c r="BA97" s="8"/>
      <c r="BB97" s="8">
        <v>66</v>
      </c>
      <c r="BC97" s="8"/>
      <c r="BD97" s="8"/>
      <c r="BE97" s="8"/>
    </row>
    <row r="98" spans="2:57" x14ac:dyDescent="0.3">
      <c r="B98" s="24" t="s">
        <v>272</v>
      </c>
      <c r="C98" s="24" t="s">
        <v>246</v>
      </c>
      <c r="D98" s="24">
        <v>100031</v>
      </c>
      <c r="E98" s="24" t="s">
        <v>224</v>
      </c>
      <c r="F98" s="24">
        <v>4500019879</v>
      </c>
      <c r="G98" s="24">
        <v>160</v>
      </c>
      <c r="H98" s="24"/>
      <c r="I98" s="24" t="s">
        <v>301</v>
      </c>
      <c r="J98" s="24" t="s">
        <v>226</v>
      </c>
      <c r="K98" s="24" t="s">
        <v>227</v>
      </c>
      <c r="L98" s="24" t="s">
        <v>274</v>
      </c>
      <c r="M98" s="24" t="s">
        <v>303</v>
      </c>
      <c r="N98" s="24" t="s">
        <v>230</v>
      </c>
      <c r="O98" s="24" t="s">
        <v>188</v>
      </c>
      <c r="P98" s="24" t="s">
        <v>406</v>
      </c>
      <c r="Q98" s="24" t="s">
        <v>407</v>
      </c>
      <c r="R98" s="24">
        <v>20170918</v>
      </c>
      <c r="S98" s="24" t="s">
        <v>371</v>
      </c>
      <c r="T98" s="24">
        <v>20171018</v>
      </c>
      <c r="U98" s="24">
        <v>0</v>
      </c>
      <c r="V98" s="24">
        <v>5</v>
      </c>
      <c r="W98" s="24" t="s">
        <v>234</v>
      </c>
      <c r="X98" s="24">
        <v>5</v>
      </c>
      <c r="Y98" s="24" t="s">
        <v>234</v>
      </c>
      <c r="Z98" s="24">
        <v>0</v>
      </c>
      <c r="AA98" s="24"/>
      <c r="AB98" s="24">
        <v>0</v>
      </c>
      <c r="AC98" s="24"/>
      <c r="AD98" s="24">
        <v>10</v>
      </c>
      <c r="AE98" s="24" t="s">
        <v>235</v>
      </c>
      <c r="AF98" s="24">
        <v>11.35</v>
      </c>
      <c r="AG98" s="24" t="s">
        <v>235</v>
      </c>
      <c r="AH98" s="24">
        <v>11.5</v>
      </c>
      <c r="AI98" s="24" t="s">
        <v>236</v>
      </c>
      <c r="AJ98" s="24">
        <v>230.32</v>
      </c>
      <c r="AK98" s="24">
        <v>0</v>
      </c>
      <c r="AL98" s="24">
        <v>0</v>
      </c>
      <c r="AM98" s="24" t="s">
        <v>237</v>
      </c>
      <c r="AN98" s="24">
        <v>0</v>
      </c>
      <c r="AO98" s="24"/>
      <c r="AP98" s="24">
        <v>0</v>
      </c>
      <c r="AT98" t="s">
        <v>176</v>
      </c>
      <c r="AU98" s="8"/>
      <c r="AV98" s="8"/>
      <c r="AW98" s="8"/>
      <c r="AX98" s="8"/>
      <c r="AY98" s="8"/>
      <c r="AZ98" s="8"/>
      <c r="BA98" s="8"/>
      <c r="BB98" s="8">
        <v>23</v>
      </c>
      <c r="BC98" s="8"/>
      <c r="BD98" s="8"/>
      <c r="BE98" s="8"/>
    </row>
    <row r="99" spans="2:57" x14ac:dyDescent="0.3">
      <c r="B99" s="24" t="s">
        <v>272</v>
      </c>
      <c r="C99" s="24" t="s">
        <v>246</v>
      </c>
      <c r="D99" s="24">
        <v>100031</v>
      </c>
      <c r="E99" s="24" t="s">
        <v>224</v>
      </c>
      <c r="F99" s="24">
        <v>4500019879</v>
      </c>
      <c r="G99" s="24">
        <v>170</v>
      </c>
      <c r="H99" s="24"/>
      <c r="I99" s="24" t="s">
        <v>301</v>
      </c>
      <c r="J99" s="24" t="s">
        <v>226</v>
      </c>
      <c r="K99" s="24" t="s">
        <v>227</v>
      </c>
      <c r="L99" s="24" t="s">
        <v>274</v>
      </c>
      <c r="M99" s="24" t="s">
        <v>303</v>
      </c>
      <c r="N99" s="24" t="s">
        <v>230</v>
      </c>
      <c r="O99" s="24" t="s">
        <v>189</v>
      </c>
      <c r="P99" s="24" t="s">
        <v>408</v>
      </c>
      <c r="Q99" s="24" t="s">
        <v>409</v>
      </c>
      <c r="R99" s="24">
        <v>20170918</v>
      </c>
      <c r="S99" s="24" t="s">
        <v>371</v>
      </c>
      <c r="T99" s="24">
        <v>20171018</v>
      </c>
      <c r="U99" s="24">
        <v>0</v>
      </c>
      <c r="V99" s="24">
        <v>7</v>
      </c>
      <c r="W99" s="24" t="s">
        <v>234</v>
      </c>
      <c r="X99" s="24">
        <v>7</v>
      </c>
      <c r="Y99" s="24" t="s">
        <v>234</v>
      </c>
      <c r="Z99" s="24">
        <v>0</v>
      </c>
      <c r="AA99" s="24"/>
      <c r="AB99" s="24">
        <v>0</v>
      </c>
      <c r="AC99" s="24"/>
      <c r="AD99" s="24">
        <v>14</v>
      </c>
      <c r="AE99" s="24" t="s">
        <v>235</v>
      </c>
      <c r="AF99" s="24">
        <v>15.96</v>
      </c>
      <c r="AG99" s="24" t="s">
        <v>235</v>
      </c>
      <c r="AH99" s="24">
        <v>16.100000000000001</v>
      </c>
      <c r="AI99" s="24" t="s">
        <v>236</v>
      </c>
      <c r="AJ99" s="24">
        <v>322.44</v>
      </c>
      <c r="AK99" s="24">
        <v>0</v>
      </c>
      <c r="AL99" s="24">
        <v>0</v>
      </c>
      <c r="AM99" s="24" t="s">
        <v>237</v>
      </c>
      <c r="AN99" s="24">
        <v>0</v>
      </c>
      <c r="AO99" s="24"/>
      <c r="AP99" s="24">
        <v>0</v>
      </c>
      <c r="AT99" t="s">
        <v>177</v>
      </c>
      <c r="AU99" s="8"/>
      <c r="AV99" s="8"/>
      <c r="AW99" s="8"/>
      <c r="AX99" s="8"/>
      <c r="AY99" s="8"/>
      <c r="AZ99" s="8"/>
      <c r="BA99" s="8"/>
      <c r="BB99" s="8">
        <v>54</v>
      </c>
      <c r="BC99" s="8"/>
      <c r="BD99" s="8"/>
      <c r="BE99" s="8"/>
    </row>
    <row r="100" spans="2:57" x14ac:dyDescent="0.3">
      <c r="B100" s="24" t="s">
        <v>272</v>
      </c>
      <c r="C100" s="24" t="s">
        <v>246</v>
      </c>
      <c r="D100" s="24">
        <v>100031</v>
      </c>
      <c r="E100" s="24" t="s">
        <v>224</v>
      </c>
      <c r="F100" s="24">
        <v>4500019879</v>
      </c>
      <c r="G100" s="24">
        <v>180</v>
      </c>
      <c r="H100" s="24"/>
      <c r="I100" s="24" t="s">
        <v>301</v>
      </c>
      <c r="J100" s="24" t="s">
        <v>226</v>
      </c>
      <c r="K100" s="24" t="s">
        <v>227</v>
      </c>
      <c r="L100" s="24" t="s">
        <v>274</v>
      </c>
      <c r="M100" s="24" t="s">
        <v>303</v>
      </c>
      <c r="N100" s="24" t="s">
        <v>230</v>
      </c>
      <c r="O100" s="24" t="s">
        <v>190</v>
      </c>
      <c r="P100" s="24" t="s">
        <v>410</v>
      </c>
      <c r="Q100" s="24" t="s">
        <v>411</v>
      </c>
      <c r="R100" s="24">
        <v>20170918</v>
      </c>
      <c r="S100" s="24" t="s">
        <v>371</v>
      </c>
      <c r="T100" s="24">
        <v>20171018</v>
      </c>
      <c r="U100" s="24">
        <v>0</v>
      </c>
      <c r="V100" s="24">
        <v>9</v>
      </c>
      <c r="W100" s="24" t="s">
        <v>234</v>
      </c>
      <c r="X100" s="24">
        <v>9</v>
      </c>
      <c r="Y100" s="24" t="s">
        <v>234</v>
      </c>
      <c r="Z100" s="24">
        <v>0</v>
      </c>
      <c r="AA100" s="24"/>
      <c r="AB100" s="24">
        <v>0</v>
      </c>
      <c r="AC100" s="24"/>
      <c r="AD100" s="24">
        <v>18</v>
      </c>
      <c r="AE100" s="24" t="s">
        <v>235</v>
      </c>
      <c r="AF100" s="24">
        <v>21.15</v>
      </c>
      <c r="AG100" s="24" t="s">
        <v>235</v>
      </c>
      <c r="AH100" s="24">
        <v>20.7</v>
      </c>
      <c r="AI100" s="24" t="s">
        <v>236</v>
      </c>
      <c r="AJ100" s="24">
        <v>419.69</v>
      </c>
      <c r="AK100" s="24">
        <v>0</v>
      </c>
      <c r="AL100" s="24">
        <v>0</v>
      </c>
      <c r="AM100" s="24" t="s">
        <v>237</v>
      </c>
      <c r="AN100" s="24">
        <v>0</v>
      </c>
      <c r="AO100" s="24"/>
      <c r="AP100" s="24">
        <v>0</v>
      </c>
      <c r="AT100" t="s">
        <v>178</v>
      </c>
      <c r="AU100" s="8"/>
      <c r="AV100" s="8"/>
      <c r="AW100" s="8"/>
      <c r="AX100" s="8"/>
      <c r="AY100" s="8"/>
      <c r="AZ100" s="8"/>
      <c r="BA100" s="8"/>
      <c r="BB100" s="8">
        <v>3</v>
      </c>
      <c r="BC100" s="8"/>
      <c r="BD100" s="8"/>
      <c r="BE100" s="8"/>
    </row>
    <row r="101" spans="2:57" x14ac:dyDescent="0.3">
      <c r="B101" s="24" t="s">
        <v>272</v>
      </c>
      <c r="C101" s="24" t="s">
        <v>246</v>
      </c>
      <c r="D101" s="24">
        <v>100031</v>
      </c>
      <c r="E101" s="24" t="s">
        <v>224</v>
      </c>
      <c r="F101" s="24">
        <v>4500019879</v>
      </c>
      <c r="G101" s="24">
        <v>190</v>
      </c>
      <c r="H101" s="24"/>
      <c r="I101" s="24" t="s">
        <v>301</v>
      </c>
      <c r="J101" s="24" t="s">
        <v>226</v>
      </c>
      <c r="K101" s="24" t="s">
        <v>227</v>
      </c>
      <c r="L101" s="24" t="s">
        <v>274</v>
      </c>
      <c r="M101" s="24" t="s">
        <v>303</v>
      </c>
      <c r="N101" s="24" t="s">
        <v>230</v>
      </c>
      <c r="O101" s="24" t="s">
        <v>191</v>
      </c>
      <c r="P101" s="24" t="s">
        <v>412</v>
      </c>
      <c r="Q101" s="24" t="s">
        <v>413</v>
      </c>
      <c r="R101" s="24">
        <v>20170918</v>
      </c>
      <c r="S101" s="24" t="s">
        <v>371</v>
      </c>
      <c r="T101" s="24">
        <v>20171018</v>
      </c>
      <c r="U101" s="24">
        <v>0</v>
      </c>
      <c r="V101" s="24">
        <v>18</v>
      </c>
      <c r="W101" s="24" t="s">
        <v>234</v>
      </c>
      <c r="X101" s="24">
        <v>18</v>
      </c>
      <c r="Y101" s="24" t="s">
        <v>234</v>
      </c>
      <c r="Z101" s="24">
        <v>0</v>
      </c>
      <c r="AA101" s="24"/>
      <c r="AB101" s="24">
        <v>0</v>
      </c>
      <c r="AC101" s="24"/>
      <c r="AD101" s="24">
        <v>21.6</v>
      </c>
      <c r="AE101" s="24" t="s">
        <v>235</v>
      </c>
      <c r="AF101" s="24">
        <v>25.2</v>
      </c>
      <c r="AG101" s="24" t="s">
        <v>235</v>
      </c>
      <c r="AH101" s="24">
        <v>216</v>
      </c>
      <c r="AI101" s="24" t="s">
        <v>236</v>
      </c>
      <c r="AJ101" s="24">
        <v>548.07000000000005</v>
      </c>
      <c r="AK101" s="24">
        <v>0</v>
      </c>
      <c r="AL101" s="24">
        <v>0</v>
      </c>
      <c r="AM101" s="24" t="s">
        <v>237</v>
      </c>
      <c r="AN101" s="24">
        <v>0</v>
      </c>
      <c r="AO101" s="24"/>
      <c r="AP101" s="24">
        <v>0</v>
      </c>
      <c r="AT101" t="s">
        <v>179</v>
      </c>
      <c r="AU101" s="8"/>
      <c r="AV101" s="8"/>
      <c r="AW101" s="8"/>
      <c r="AX101" s="8"/>
      <c r="AY101" s="8"/>
      <c r="AZ101" s="8"/>
      <c r="BA101" s="8"/>
      <c r="BB101" s="8">
        <v>2</v>
      </c>
      <c r="BC101" s="8"/>
      <c r="BD101" s="8"/>
      <c r="BE101" s="8"/>
    </row>
    <row r="102" spans="2:57" x14ac:dyDescent="0.3">
      <c r="B102" s="24" t="s">
        <v>272</v>
      </c>
      <c r="C102" s="24" t="s">
        <v>246</v>
      </c>
      <c r="D102" s="24">
        <v>100031</v>
      </c>
      <c r="E102" s="24" t="s">
        <v>224</v>
      </c>
      <c r="F102" s="24">
        <v>4500019879</v>
      </c>
      <c r="G102" s="24">
        <v>200</v>
      </c>
      <c r="H102" s="24"/>
      <c r="I102" s="24" t="s">
        <v>301</v>
      </c>
      <c r="J102" s="24" t="s">
        <v>226</v>
      </c>
      <c r="K102" s="24" t="s">
        <v>227</v>
      </c>
      <c r="L102" s="24" t="s">
        <v>274</v>
      </c>
      <c r="M102" s="24" t="s">
        <v>303</v>
      </c>
      <c r="N102" s="24" t="s">
        <v>230</v>
      </c>
      <c r="O102" s="24" t="s">
        <v>192</v>
      </c>
      <c r="P102" s="24" t="s">
        <v>414</v>
      </c>
      <c r="Q102" s="24" t="s">
        <v>415</v>
      </c>
      <c r="R102" s="24">
        <v>20170918</v>
      </c>
      <c r="S102" s="24" t="s">
        <v>371</v>
      </c>
      <c r="T102" s="24">
        <v>20171018</v>
      </c>
      <c r="U102" s="24">
        <v>0</v>
      </c>
      <c r="V102" s="24">
        <v>18</v>
      </c>
      <c r="W102" s="24" t="s">
        <v>234</v>
      </c>
      <c r="X102" s="24">
        <v>18</v>
      </c>
      <c r="Y102" s="24" t="s">
        <v>234</v>
      </c>
      <c r="Z102" s="24">
        <v>0</v>
      </c>
      <c r="AA102" s="24"/>
      <c r="AB102" s="24">
        <v>0</v>
      </c>
      <c r="AC102" s="24"/>
      <c r="AD102" s="24">
        <v>36</v>
      </c>
      <c r="AE102" s="24" t="s">
        <v>235</v>
      </c>
      <c r="AF102" s="24">
        <v>39.6</v>
      </c>
      <c r="AG102" s="24" t="s">
        <v>235</v>
      </c>
      <c r="AH102" s="24">
        <v>99.36</v>
      </c>
      <c r="AI102" s="24" t="s">
        <v>236</v>
      </c>
      <c r="AJ102" s="24">
        <v>829.66</v>
      </c>
      <c r="AK102" s="24">
        <v>0</v>
      </c>
      <c r="AL102" s="24">
        <v>0</v>
      </c>
      <c r="AM102" s="24" t="s">
        <v>237</v>
      </c>
      <c r="AN102" s="24">
        <v>0</v>
      </c>
      <c r="AO102" s="24"/>
      <c r="AP102" s="24">
        <v>0</v>
      </c>
      <c r="AT102" t="s">
        <v>180</v>
      </c>
      <c r="AU102" s="8"/>
      <c r="AV102" s="8"/>
      <c r="AW102" s="8"/>
      <c r="AX102" s="8"/>
      <c r="AY102" s="8"/>
      <c r="AZ102" s="8"/>
      <c r="BA102" s="8"/>
      <c r="BB102" s="8">
        <v>8</v>
      </c>
      <c r="BC102" s="8"/>
      <c r="BD102" s="8"/>
      <c r="BE102" s="8"/>
    </row>
    <row r="103" spans="2:57" x14ac:dyDescent="0.3">
      <c r="B103" s="24" t="s">
        <v>272</v>
      </c>
      <c r="C103" s="24" t="s">
        <v>246</v>
      </c>
      <c r="D103" s="24">
        <v>100031</v>
      </c>
      <c r="E103" s="24" t="s">
        <v>224</v>
      </c>
      <c r="F103" s="24">
        <v>4500019879</v>
      </c>
      <c r="G103" s="24">
        <v>210</v>
      </c>
      <c r="H103" s="24"/>
      <c r="I103" s="24" t="s">
        <v>301</v>
      </c>
      <c r="J103" s="24" t="s">
        <v>226</v>
      </c>
      <c r="K103" s="24" t="s">
        <v>227</v>
      </c>
      <c r="L103" s="24" t="s">
        <v>274</v>
      </c>
      <c r="M103" s="24" t="s">
        <v>303</v>
      </c>
      <c r="N103" s="24" t="s">
        <v>230</v>
      </c>
      <c r="O103" s="24" t="s">
        <v>193</v>
      </c>
      <c r="P103" s="24" t="s">
        <v>416</v>
      </c>
      <c r="Q103" s="24" t="s">
        <v>417</v>
      </c>
      <c r="R103" s="24">
        <v>20170918</v>
      </c>
      <c r="S103" s="24" t="s">
        <v>371</v>
      </c>
      <c r="T103" s="24">
        <v>20171018</v>
      </c>
      <c r="U103" s="24">
        <v>0</v>
      </c>
      <c r="V103" s="24">
        <v>30</v>
      </c>
      <c r="W103" s="24" t="s">
        <v>234</v>
      </c>
      <c r="X103" s="24">
        <v>30</v>
      </c>
      <c r="Y103" s="24" t="s">
        <v>234</v>
      </c>
      <c r="Z103" s="24">
        <v>0</v>
      </c>
      <c r="AA103" s="24"/>
      <c r="AB103" s="24">
        <v>0</v>
      </c>
      <c r="AC103" s="24"/>
      <c r="AD103" s="24">
        <v>60</v>
      </c>
      <c r="AE103" s="24" t="s">
        <v>235</v>
      </c>
      <c r="AF103" s="24">
        <v>68.400000000000006</v>
      </c>
      <c r="AG103" s="24" t="s">
        <v>235</v>
      </c>
      <c r="AH103" s="24">
        <v>69</v>
      </c>
      <c r="AI103" s="24" t="s">
        <v>236</v>
      </c>
      <c r="AJ103" s="24">
        <v>1381.89</v>
      </c>
      <c r="AK103" s="24">
        <v>0</v>
      </c>
      <c r="AL103" s="24">
        <v>0</v>
      </c>
      <c r="AM103" s="24" t="s">
        <v>237</v>
      </c>
      <c r="AN103" s="24">
        <v>0</v>
      </c>
      <c r="AO103" s="24"/>
      <c r="AP103" s="24">
        <v>0</v>
      </c>
      <c r="AT103" t="s">
        <v>181</v>
      </c>
      <c r="AU103" s="8"/>
      <c r="AV103" s="8"/>
      <c r="AW103" s="8"/>
      <c r="AX103" s="8"/>
      <c r="AY103" s="8"/>
      <c r="AZ103" s="8"/>
      <c r="BA103" s="8"/>
      <c r="BB103" s="8">
        <v>12</v>
      </c>
      <c r="BC103" s="8"/>
      <c r="BD103" s="8"/>
      <c r="BE103" s="8"/>
    </row>
    <row r="104" spans="2:57" x14ac:dyDescent="0.3">
      <c r="B104" s="24" t="s">
        <v>272</v>
      </c>
      <c r="C104" s="24" t="s">
        <v>246</v>
      </c>
      <c r="D104" s="24">
        <v>100031</v>
      </c>
      <c r="E104" s="24" t="s">
        <v>224</v>
      </c>
      <c r="F104" s="24">
        <v>4500019879</v>
      </c>
      <c r="G104" s="24">
        <v>220</v>
      </c>
      <c r="H104" s="24"/>
      <c r="I104" s="24" t="s">
        <v>301</v>
      </c>
      <c r="J104" s="24" t="s">
        <v>226</v>
      </c>
      <c r="K104" s="24" t="s">
        <v>227</v>
      </c>
      <c r="L104" s="24" t="s">
        <v>274</v>
      </c>
      <c r="M104" s="24" t="s">
        <v>303</v>
      </c>
      <c r="N104" s="24" t="s">
        <v>230</v>
      </c>
      <c r="O104" s="24" t="s">
        <v>194</v>
      </c>
      <c r="P104" s="24" t="s">
        <v>418</v>
      </c>
      <c r="Q104" s="24" t="s">
        <v>419</v>
      </c>
      <c r="R104" s="24">
        <v>20170918</v>
      </c>
      <c r="S104" s="24" t="s">
        <v>371</v>
      </c>
      <c r="T104" s="24">
        <v>20171018</v>
      </c>
      <c r="U104" s="24">
        <v>0</v>
      </c>
      <c r="V104" s="24">
        <v>13</v>
      </c>
      <c r="W104" s="24" t="s">
        <v>234</v>
      </c>
      <c r="X104" s="24">
        <v>13</v>
      </c>
      <c r="Y104" s="24" t="s">
        <v>234</v>
      </c>
      <c r="Z104" s="24">
        <v>0</v>
      </c>
      <c r="AA104" s="24"/>
      <c r="AB104" s="24">
        <v>0</v>
      </c>
      <c r="AC104" s="24"/>
      <c r="AD104" s="24">
        <v>26</v>
      </c>
      <c r="AE104" s="24" t="s">
        <v>235</v>
      </c>
      <c r="AF104" s="24">
        <v>29.184999999999999</v>
      </c>
      <c r="AG104" s="24" t="s">
        <v>235</v>
      </c>
      <c r="AH104" s="24">
        <v>79.56</v>
      </c>
      <c r="AI104" s="24" t="s">
        <v>236</v>
      </c>
      <c r="AJ104" s="24">
        <v>606.6</v>
      </c>
      <c r="AK104" s="24">
        <v>0</v>
      </c>
      <c r="AL104" s="24">
        <v>0</v>
      </c>
      <c r="AM104" s="24" t="s">
        <v>237</v>
      </c>
      <c r="AN104" s="24">
        <v>0</v>
      </c>
      <c r="AO104" s="24"/>
      <c r="AP104" s="24">
        <v>0</v>
      </c>
      <c r="AT104" t="s">
        <v>182</v>
      </c>
      <c r="AU104" s="8"/>
      <c r="AV104" s="8"/>
      <c r="AW104" s="8"/>
      <c r="AX104" s="8"/>
      <c r="AY104" s="8"/>
      <c r="AZ104" s="8"/>
      <c r="BA104" s="8"/>
      <c r="BB104" s="8">
        <v>42</v>
      </c>
      <c r="BC104" s="8"/>
      <c r="BD104" s="8"/>
      <c r="BE104" s="8"/>
    </row>
    <row r="105" spans="2:57" x14ac:dyDescent="0.3">
      <c r="B105" s="24" t="s">
        <v>272</v>
      </c>
      <c r="C105" s="24" t="s">
        <v>246</v>
      </c>
      <c r="D105" s="24">
        <v>100031</v>
      </c>
      <c r="E105" s="24" t="s">
        <v>224</v>
      </c>
      <c r="F105" s="24">
        <v>4500019879</v>
      </c>
      <c r="G105" s="24">
        <v>230</v>
      </c>
      <c r="H105" s="24"/>
      <c r="I105" s="24" t="s">
        <v>301</v>
      </c>
      <c r="J105" s="24" t="s">
        <v>226</v>
      </c>
      <c r="K105" s="24" t="s">
        <v>227</v>
      </c>
      <c r="L105" s="24" t="s">
        <v>274</v>
      </c>
      <c r="M105" s="24" t="s">
        <v>303</v>
      </c>
      <c r="N105" s="24" t="s">
        <v>230</v>
      </c>
      <c r="O105" s="24" t="s">
        <v>195</v>
      </c>
      <c r="P105" s="24" t="s">
        <v>420</v>
      </c>
      <c r="Q105" s="24" t="s">
        <v>421</v>
      </c>
      <c r="R105" s="24">
        <v>20170918</v>
      </c>
      <c r="S105" s="24" t="s">
        <v>371</v>
      </c>
      <c r="T105" s="24">
        <v>20171018</v>
      </c>
      <c r="U105" s="24">
        <v>0</v>
      </c>
      <c r="V105" s="24">
        <v>7</v>
      </c>
      <c r="W105" s="24" t="s">
        <v>234</v>
      </c>
      <c r="X105" s="24">
        <v>7</v>
      </c>
      <c r="Y105" s="24" t="s">
        <v>234</v>
      </c>
      <c r="Z105" s="24">
        <v>0</v>
      </c>
      <c r="AA105" s="24"/>
      <c r="AB105" s="24">
        <v>0</v>
      </c>
      <c r="AC105" s="24"/>
      <c r="AD105" s="24">
        <v>8.89</v>
      </c>
      <c r="AE105" s="24" t="s">
        <v>235</v>
      </c>
      <c r="AF105" s="24">
        <v>10.29</v>
      </c>
      <c r="AG105" s="24" t="s">
        <v>235</v>
      </c>
      <c r="AH105" s="24">
        <v>84</v>
      </c>
      <c r="AI105" s="24" t="s">
        <v>236</v>
      </c>
      <c r="AJ105" s="24">
        <v>213.19</v>
      </c>
      <c r="AK105" s="24">
        <v>0</v>
      </c>
      <c r="AL105" s="24">
        <v>0</v>
      </c>
      <c r="AM105" s="24" t="s">
        <v>237</v>
      </c>
      <c r="AN105" s="24">
        <v>0</v>
      </c>
      <c r="AO105" s="24"/>
      <c r="AP105" s="24">
        <v>0</v>
      </c>
      <c r="AT105" t="s">
        <v>183</v>
      </c>
      <c r="AU105" s="8"/>
      <c r="AV105" s="8"/>
      <c r="AW105" s="8"/>
      <c r="AX105" s="8"/>
      <c r="AY105" s="8"/>
      <c r="AZ105" s="8"/>
      <c r="BA105" s="8"/>
      <c r="BB105" s="8">
        <v>1</v>
      </c>
      <c r="BC105" s="8"/>
      <c r="BD105" s="8"/>
      <c r="BE105" s="8"/>
    </row>
    <row r="106" spans="2:57" x14ac:dyDescent="0.3">
      <c r="B106" s="24" t="s">
        <v>272</v>
      </c>
      <c r="C106" s="24" t="s">
        <v>246</v>
      </c>
      <c r="D106" s="24">
        <v>100031</v>
      </c>
      <c r="E106" s="24" t="s">
        <v>224</v>
      </c>
      <c r="F106" s="24">
        <v>4500019879</v>
      </c>
      <c r="G106" s="24">
        <v>240</v>
      </c>
      <c r="H106" s="24"/>
      <c r="I106" s="24" t="s">
        <v>301</v>
      </c>
      <c r="J106" s="24" t="s">
        <v>226</v>
      </c>
      <c r="K106" s="24" t="s">
        <v>227</v>
      </c>
      <c r="L106" s="24" t="s">
        <v>274</v>
      </c>
      <c r="M106" s="24" t="s">
        <v>303</v>
      </c>
      <c r="N106" s="24" t="s">
        <v>230</v>
      </c>
      <c r="O106" s="24" t="s">
        <v>196</v>
      </c>
      <c r="P106" s="24" t="s">
        <v>422</v>
      </c>
      <c r="Q106" s="24" t="s">
        <v>423</v>
      </c>
      <c r="R106" s="24">
        <v>20170918</v>
      </c>
      <c r="S106" s="24" t="s">
        <v>371</v>
      </c>
      <c r="T106" s="24">
        <v>20171018</v>
      </c>
      <c r="U106" s="24">
        <v>0</v>
      </c>
      <c r="V106" s="24">
        <v>5</v>
      </c>
      <c r="W106" s="24" t="s">
        <v>234</v>
      </c>
      <c r="X106" s="24">
        <v>5</v>
      </c>
      <c r="Y106" s="24" t="s">
        <v>234</v>
      </c>
      <c r="Z106" s="24">
        <v>0</v>
      </c>
      <c r="AA106" s="24"/>
      <c r="AB106" s="24">
        <v>0</v>
      </c>
      <c r="AC106" s="24"/>
      <c r="AD106" s="24">
        <v>10</v>
      </c>
      <c r="AE106" s="24" t="s">
        <v>235</v>
      </c>
      <c r="AF106" s="24">
        <v>11</v>
      </c>
      <c r="AG106" s="24" t="s">
        <v>235</v>
      </c>
      <c r="AH106" s="24">
        <v>30.6</v>
      </c>
      <c r="AI106" s="24" t="s">
        <v>236</v>
      </c>
      <c r="AJ106" s="24">
        <v>230.32</v>
      </c>
      <c r="AK106" s="24">
        <v>0</v>
      </c>
      <c r="AL106" s="24">
        <v>0</v>
      </c>
      <c r="AM106" s="24" t="s">
        <v>237</v>
      </c>
      <c r="AN106" s="24">
        <v>0</v>
      </c>
      <c r="AO106" s="24"/>
      <c r="AP106" s="24">
        <v>0</v>
      </c>
      <c r="AT106" t="s">
        <v>184</v>
      </c>
      <c r="AU106" s="8"/>
      <c r="AV106" s="8"/>
      <c r="AW106" s="8"/>
      <c r="AX106" s="8"/>
      <c r="AY106" s="8"/>
      <c r="AZ106" s="8"/>
      <c r="BA106" s="8"/>
      <c r="BB106" s="8">
        <v>5</v>
      </c>
      <c r="BC106" s="8"/>
      <c r="BD106" s="8"/>
      <c r="BE106" s="8"/>
    </row>
    <row r="107" spans="2:57" x14ac:dyDescent="0.3">
      <c r="B107" s="24" t="s">
        <v>272</v>
      </c>
      <c r="C107" s="24" t="s">
        <v>246</v>
      </c>
      <c r="D107" s="24">
        <v>100031</v>
      </c>
      <c r="E107" s="24" t="s">
        <v>224</v>
      </c>
      <c r="F107" s="24">
        <v>4500019879</v>
      </c>
      <c r="G107" s="24">
        <v>250</v>
      </c>
      <c r="H107" s="24"/>
      <c r="I107" s="24" t="s">
        <v>301</v>
      </c>
      <c r="J107" s="24" t="s">
        <v>226</v>
      </c>
      <c r="K107" s="24" t="s">
        <v>227</v>
      </c>
      <c r="L107" s="24" t="s">
        <v>274</v>
      </c>
      <c r="M107" s="24" t="s">
        <v>303</v>
      </c>
      <c r="N107" s="24" t="s">
        <v>230</v>
      </c>
      <c r="O107" s="24" t="s">
        <v>197</v>
      </c>
      <c r="P107" s="24" t="s">
        <v>424</v>
      </c>
      <c r="Q107" s="24" t="s">
        <v>425</v>
      </c>
      <c r="R107" s="24">
        <v>20170918</v>
      </c>
      <c r="S107" s="24" t="s">
        <v>371</v>
      </c>
      <c r="T107" s="24">
        <v>20171018</v>
      </c>
      <c r="U107" s="24">
        <v>0</v>
      </c>
      <c r="V107" s="24">
        <v>12</v>
      </c>
      <c r="W107" s="24" t="s">
        <v>234</v>
      </c>
      <c r="X107" s="24">
        <v>12</v>
      </c>
      <c r="Y107" s="24" t="s">
        <v>234</v>
      </c>
      <c r="Z107" s="24">
        <v>0</v>
      </c>
      <c r="AA107" s="24"/>
      <c r="AB107" s="24">
        <v>0</v>
      </c>
      <c r="AC107" s="24"/>
      <c r="AD107" s="24">
        <v>24</v>
      </c>
      <c r="AE107" s="24" t="s">
        <v>235</v>
      </c>
      <c r="AF107" s="24">
        <v>27.276</v>
      </c>
      <c r="AG107" s="24" t="s">
        <v>235</v>
      </c>
      <c r="AH107" s="24">
        <v>73.44</v>
      </c>
      <c r="AI107" s="24" t="s">
        <v>236</v>
      </c>
      <c r="AJ107" s="24">
        <v>559.94000000000005</v>
      </c>
      <c r="AK107" s="24">
        <v>0</v>
      </c>
      <c r="AL107" s="24">
        <v>0</v>
      </c>
      <c r="AM107" s="24" t="s">
        <v>237</v>
      </c>
      <c r="AN107" s="24">
        <v>0</v>
      </c>
      <c r="AO107" s="24"/>
      <c r="AP107" s="24">
        <v>0</v>
      </c>
      <c r="AT107" t="s">
        <v>185</v>
      </c>
      <c r="AU107" s="8"/>
      <c r="AV107" s="8"/>
      <c r="AW107" s="8"/>
      <c r="AX107" s="8"/>
      <c r="AY107" s="8"/>
      <c r="AZ107" s="8"/>
      <c r="BA107" s="8"/>
      <c r="BB107" s="8">
        <v>15</v>
      </c>
      <c r="BC107" s="8"/>
      <c r="BD107" s="8"/>
      <c r="BE107" s="8"/>
    </row>
    <row r="108" spans="2:57" x14ac:dyDescent="0.3">
      <c r="B108" s="24" t="s">
        <v>272</v>
      </c>
      <c r="C108" s="24" t="s">
        <v>246</v>
      </c>
      <c r="D108" s="24">
        <v>100031</v>
      </c>
      <c r="E108" s="24" t="s">
        <v>224</v>
      </c>
      <c r="F108" s="24">
        <v>4500019879</v>
      </c>
      <c r="G108" s="24">
        <v>260</v>
      </c>
      <c r="H108" s="24"/>
      <c r="I108" s="24" t="s">
        <v>301</v>
      </c>
      <c r="J108" s="24" t="s">
        <v>226</v>
      </c>
      <c r="K108" s="24" t="s">
        <v>227</v>
      </c>
      <c r="L108" s="24" t="s">
        <v>274</v>
      </c>
      <c r="M108" s="24" t="s">
        <v>303</v>
      </c>
      <c r="N108" s="24" t="s">
        <v>230</v>
      </c>
      <c r="O108" s="24" t="s">
        <v>198</v>
      </c>
      <c r="P108" s="24" t="s">
        <v>426</v>
      </c>
      <c r="Q108" s="24" t="s">
        <v>427</v>
      </c>
      <c r="R108" s="24">
        <v>20170918</v>
      </c>
      <c r="S108" s="24" t="s">
        <v>371</v>
      </c>
      <c r="T108" s="24">
        <v>20171018</v>
      </c>
      <c r="U108" s="24">
        <v>0</v>
      </c>
      <c r="V108" s="24">
        <v>2</v>
      </c>
      <c r="W108" s="24" t="s">
        <v>234</v>
      </c>
      <c r="X108" s="24">
        <v>2</v>
      </c>
      <c r="Y108" s="24" t="s">
        <v>234</v>
      </c>
      <c r="Z108" s="24">
        <v>0</v>
      </c>
      <c r="AA108" s="24"/>
      <c r="AB108" s="24">
        <v>0</v>
      </c>
      <c r="AC108" s="24"/>
      <c r="AD108" s="24">
        <v>4</v>
      </c>
      <c r="AE108" s="24" t="s">
        <v>235</v>
      </c>
      <c r="AF108" s="24">
        <v>4.4000000000000004</v>
      </c>
      <c r="AG108" s="24" t="s">
        <v>235</v>
      </c>
      <c r="AH108" s="24">
        <v>12.24</v>
      </c>
      <c r="AI108" s="24" t="s">
        <v>236</v>
      </c>
      <c r="AJ108" s="24">
        <v>93.32</v>
      </c>
      <c r="AK108" s="24">
        <v>0</v>
      </c>
      <c r="AL108" s="24">
        <v>0</v>
      </c>
      <c r="AM108" s="24" t="s">
        <v>237</v>
      </c>
      <c r="AN108" s="24">
        <v>0</v>
      </c>
      <c r="AO108" s="24"/>
      <c r="AP108" s="24">
        <v>0</v>
      </c>
      <c r="AT108" t="s">
        <v>186</v>
      </c>
      <c r="AU108" s="8"/>
      <c r="AV108" s="8"/>
      <c r="AW108" s="8"/>
      <c r="AX108" s="8"/>
      <c r="AY108" s="8"/>
      <c r="AZ108" s="8"/>
      <c r="BA108" s="8"/>
      <c r="BB108" s="8">
        <v>3</v>
      </c>
      <c r="BC108" s="8"/>
      <c r="BD108" s="8"/>
      <c r="BE108" s="8"/>
    </row>
    <row r="109" spans="2:57" x14ac:dyDescent="0.3">
      <c r="B109" s="24" t="s">
        <v>272</v>
      </c>
      <c r="C109" s="24" t="s">
        <v>246</v>
      </c>
      <c r="D109" s="24">
        <v>100031</v>
      </c>
      <c r="E109" s="24" t="s">
        <v>224</v>
      </c>
      <c r="F109" s="24">
        <v>4500019879</v>
      </c>
      <c r="G109" s="24">
        <v>270</v>
      </c>
      <c r="H109" s="24"/>
      <c r="I109" s="24" t="s">
        <v>301</v>
      </c>
      <c r="J109" s="24" t="s">
        <v>226</v>
      </c>
      <c r="K109" s="24" t="s">
        <v>227</v>
      </c>
      <c r="L109" s="24" t="s">
        <v>274</v>
      </c>
      <c r="M109" s="24" t="s">
        <v>303</v>
      </c>
      <c r="N109" s="24" t="s">
        <v>230</v>
      </c>
      <c r="O109" s="24" t="s">
        <v>199</v>
      </c>
      <c r="P109" s="24" t="s">
        <v>428</v>
      </c>
      <c r="Q109" s="24" t="s">
        <v>429</v>
      </c>
      <c r="R109" s="24">
        <v>20170918</v>
      </c>
      <c r="S109" s="24" t="s">
        <v>371</v>
      </c>
      <c r="T109" s="24">
        <v>20171018</v>
      </c>
      <c r="U109" s="24">
        <v>0</v>
      </c>
      <c r="V109" s="24">
        <v>12</v>
      </c>
      <c r="W109" s="24" t="s">
        <v>234</v>
      </c>
      <c r="X109" s="24">
        <v>12</v>
      </c>
      <c r="Y109" s="24" t="s">
        <v>234</v>
      </c>
      <c r="Z109" s="24">
        <v>0</v>
      </c>
      <c r="AA109" s="24"/>
      <c r="AB109" s="24">
        <v>0</v>
      </c>
      <c r="AC109" s="24"/>
      <c r="AD109" s="24">
        <v>24</v>
      </c>
      <c r="AE109" s="24" t="s">
        <v>235</v>
      </c>
      <c r="AF109" s="24">
        <v>26.4</v>
      </c>
      <c r="AG109" s="24" t="s">
        <v>235</v>
      </c>
      <c r="AH109" s="24">
        <v>73.44</v>
      </c>
      <c r="AI109" s="24" t="s">
        <v>236</v>
      </c>
      <c r="AJ109" s="24">
        <v>559.94000000000005</v>
      </c>
      <c r="AK109" s="24">
        <v>0</v>
      </c>
      <c r="AL109" s="24">
        <v>0</v>
      </c>
      <c r="AM109" s="24" t="s">
        <v>237</v>
      </c>
      <c r="AN109" s="24">
        <v>0</v>
      </c>
      <c r="AO109" s="24"/>
      <c r="AP109" s="24">
        <v>0</v>
      </c>
      <c r="AT109" t="s">
        <v>187</v>
      </c>
      <c r="AU109" s="8"/>
      <c r="AV109" s="8"/>
      <c r="AW109" s="8"/>
      <c r="AX109" s="8"/>
      <c r="AY109" s="8"/>
      <c r="AZ109" s="8"/>
      <c r="BA109" s="8"/>
      <c r="BB109" s="8">
        <v>21</v>
      </c>
      <c r="BC109" s="8"/>
      <c r="BD109" s="8"/>
      <c r="BE109" s="8"/>
    </row>
    <row r="110" spans="2:57" x14ac:dyDescent="0.3">
      <c r="B110" s="24" t="s">
        <v>272</v>
      </c>
      <c r="C110" s="24" t="s">
        <v>246</v>
      </c>
      <c r="D110" s="24">
        <v>100031</v>
      </c>
      <c r="E110" s="24" t="s">
        <v>224</v>
      </c>
      <c r="F110" s="24">
        <v>4500019879</v>
      </c>
      <c r="G110" s="24">
        <v>280</v>
      </c>
      <c r="H110" s="24"/>
      <c r="I110" s="24" t="s">
        <v>301</v>
      </c>
      <c r="J110" s="24" t="s">
        <v>226</v>
      </c>
      <c r="K110" s="24" t="s">
        <v>227</v>
      </c>
      <c r="L110" s="24" t="s">
        <v>274</v>
      </c>
      <c r="M110" s="24" t="s">
        <v>303</v>
      </c>
      <c r="N110" s="24" t="s">
        <v>230</v>
      </c>
      <c r="O110" s="24" t="s">
        <v>200</v>
      </c>
      <c r="P110" s="24" t="s">
        <v>430</v>
      </c>
      <c r="Q110" s="24" t="s">
        <v>431</v>
      </c>
      <c r="R110" s="24">
        <v>20170918</v>
      </c>
      <c r="S110" s="24" t="s">
        <v>371</v>
      </c>
      <c r="T110" s="24">
        <v>20171018</v>
      </c>
      <c r="U110" s="24">
        <v>0</v>
      </c>
      <c r="V110" s="24">
        <v>7</v>
      </c>
      <c r="W110" s="24" t="s">
        <v>234</v>
      </c>
      <c r="X110" s="24">
        <v>7</v>
      </c>
      <c r="Y110" s="24" t="s">
        <v>234</v>
      </c>
      <c r="Z110" s="24">
        <v>0</v>
      </c>
      <c r="AA110" s="24"/>
      <c r="AB110" s="24">
        <v>0</v>
      </c>
      <c r="AC110" s="24"/>
      <c r="AD110" s="24">
        <v>14</v>
      </c>
      <c r="AE110" s="24" t="s">
        <v>235</v>
      </c>
      <c r="AF110" s="24">
        <v>15.4</v>
      </c>
      <c r="AG110" s="24" t="s">
        <v>235</v>
      </c>
      <c r="AH110" s="24">
        <v>42.84</v>
      </c>
      <c r="AI110" s="24" t="s">
        <v>236</v>
      </c>
      <c r="AJ110" s="24">
        <v>326.63</v>
      </c>
      <c r="AK110" s="24">
        <v>0</v>
      </c>
      <c r="AL110" s="24">
        <v>0</v>
      </c>
      <c r="AM110" s="24" t="s">
        <v>237</v>
      </c>
      <c r="AN110" s="24">
        <v>0</v>
      </c>
      <c r="AO110" s="24"/>
      <c r="AP110" s="24">
        <v>0</v>
      </c>
      <c r="AT110" t="s">
        <v>188</v>
      </c>
      <c r="AU110" s="8"/>
      <c r="AV110" s="8"/>
      <c r="AW110" s="8"/>
      <c r="AX110" s="8"/>
      <c r="AY110" s="8"/>
      <c r="AZ110" s="8"/>
      <c r="BA110" s="8"/>
      <c r="BB110" s="8">
        <v>5</v>
      </c>
      <c r="BC110" s="8"/>
      <c r="BD110" s="8"/>
      <c r="BE110" s="8"/>
    </row>
    <row r="111" spans="2:57" x14ac:dyDescent="0.3">
      <c r="B111" s="24" t="s">
        <v>272</v>
      </c>
      <c r="C111" s="24" t="s">
        <v>246</v>
      </c>
      <c r="D111" s="24">
        <v>100031</v>
      </c>
      <c r="E111" s="24" t="s">
        <v>224</v>
      </c>
      <c r="F111" s="24">
        <v>4500019879</v>
      </c>
      <c r="G111" s="24">
        <v>290</v>
      </c>
      <c r="H111" s="24"/>
      <c r="I111" s="24" t="s">
        <v>301</v>
      </c>
      <c r="J111" s="24" t="s">
        <v>226</v>
      </c>
      <c r="K111" s="24" t="s">
        <v>227</v>
      </c>
      <c r="L111" s="24" t="s">
        <v>302</v>
      </c>
      <c r="M111" s="24" t="s">
        <v>432</v>
      </c>
      <c r="N111" s="24" t="s">
        <v>230</v>
      </c>
      <c r="O111" s="24" t="s">
        <v>201</v>
      </c>
      <c r="P111" s="24" t="s">
        <v>433</v>
      </c>
      <c r="Q111" s="24" t="s">
        <v>434</v>
      </c>
      <c r="R111" s="24">
        <v>20170918</v>
      </c>
      <c r="S111" s="24" t="s">
        <v>371</v>
      </c>
      <c r="T111" s="24">
        <v>20171018</v>
      </c>
      <c r="U111" s="24">
        <v>0</v>
      </c>
      <c r="V111" s="24">
        <v>11</v>
      </c>
      <c r="W111" s="24" t="s">
        <v>234</v>
      </c>
      <c r="X111" s="24">
        <v>11</v>
      </c>
      <c r="Y111" s="24" t="s">
        <v>234</v>
      </c>
      <c r="Z111" s="24">
        <v>0</v>
      </c>
      <c r="AA111" s="24"/>
      <c r="AB111" s="24">
        <v>0</v>
      </c>
      <c r="AC111" s="24"/>
      <c r="AD111" s="24">
        <v>11</v>
      </c>
      <c r="AE111" s="24" t="s">
        <v>235</v>
      </c>
      <c r="AF111" s="24">
        <v>12.1</v>
      </c>
      <c r="AG111" s="24" t="s">
        <v>235</v>
      </c>
      <c r="AH111" s="24">
        <v>59.84</v>
      </c>
      <c r="AI111" s="24" t="s">
        <v>236</v>
      </c>
      <c r="AJ111" s="24">
        <v>159.72</v>
      </c>
      <c r="AK111" s="24">
        <v>0</v>
      </c>
      <c r="AL111" s="24">
        <v>0</v>
      </c>
      <c r="AM111" s="24" t="s">
        <v>237</v>
      </c>
      <c r="AN111" s="24">
        <v>0</v>
      </c>
      <c r="AO111" s="24"/>
      <c r="AP111" s="24">
        <v>0</v>
      </c>
      <c r="AT111" t="s">
        <v>189</v>
      </c>
      <c r="AU111" s="8"/>
      <c r="AV111" s="8"/>
      <c r="AW111" s="8"/>
      <c r="AX111" s="8"/>
      <c r="AY111" s="8"/>
      <c r="AZ111" s="8"/>
      <c r="BA111" s="8"/>
      <c r="BB111" s="8">
        <v>7</v>
      </c>
      <c r="BC111" s="8"/>
      <c r="BD111" s="8"/>
      <c r="BE111" s="8"/>
    </row>
    <row r="112" spans="2:57" x14ac:dyDescent="0.3">
      <c r="B112" s="24" t="s">
        <v>272</v>
      </c>
      <c r="C112" s="24" t="s">
        <v>246</v>
      </c>
      <c r="D112" s="24">
        <v>100031</v>
      </c>
      <c r="E112" s="24" t="s">
        <v>224</v>
      </c>
      <c r="F112" s="24">
        <v>4500019879</v>
      </c>
      <c r="G112" s="24">
        <v>300</v>
      </c>
      <c r="H112" s="24"/>
      <c r="I112" s="24" t="s">
        <v>301</v>
      </c>
      <c r="J112" s="24" t="s">
        <v>226</v>
      </c>
      <c r="K112" s="24" t="s">
        <v>227</v>
      </c>
      <c r="L112" s="24" t="s">
        <v>274</v>
      </c>
      <c r="M112" s="24" t="s">
        <v>303</v>
      </c>
      <c r="N112" s="24" t="s">
        <v>230</v>
      </c>
      <c r="O112" s="24" t="s">
        <v>202</v>
      </c>
      <c r="P112" s="24" t="s">
        <v>435</v>
      </c>
      <c r="Q112" s="24" t="s">
        <v>436</v>
      </c>
      <c r="R112" s="24">
        <v>20170918</v>
      </c>
      <c r="S112" s="24" t="s">
        <v>371</v>
      </c>
      <c r="T112" s="24">
        <v>20171018</v>
      </c>
      <c r="U112" s="24">
        <v>0</v>
      </c>
      <c r="V112" s="24">
        <v>6</v>
      </c>
      <c r="W112" s="24" t="s">
        <v>234</v>
      </c>
      <c r="X112" s="24">
        <v>6</v>
      </c>
      <c r="Y112" s="24" t="s">
        <v>234</v>
      </c>
      <c r="Z112" s="24">
        <v>0</v>
      </c>
      <c r="AA112" s="24"/>
      <c r="AB112" s="24">
        <v>0</v>
      </c>
      <c r="AC112" s="24"/>
      <c r="AD112" s="24">
        <v>7.2</v>
      </c>
      <c r="AE112" s="24" t="s">
        <v>235</v>
      </c>
      <c r="AF112" s="24">
        <v>8.4</v>
      </c>
      <c r="AG112" s="24" t="s">
        <v>235</v>
      </c>
      <c r="AH112" s="24">
        <v>72</v>
      </c>
      <c r="AI112" s="24" t="s">
        <v>236</v>
      </c>
      <c r="AJ112" s="24">
        <v>182.69</v>
      </c>
      <c r="AK112" s="24">
        <v>0</v>
      </c>
      <c r="AL112" s="24">
        <v>0</v>
      </c>
      <c r="AM112" s="24" t="s">
        <v>237</v>
      </c>
      <c r="AN112" s="24">
        <v>0</v>
      </c>
      <c r="AO112" s="24"/>
      <c r="AP112" s="24">
        <v>0</v>
      </c>
      <c r="AT112" t="s">
        <v>190</v>
      </c>
      <c r="AU112" s="8"/>
      <c r="AV112" s="8"/>
      <c r="AW112" s="8"/>
      <c r="AX112" s="8"/>
      <c r="AY112" s="8"/>
      <c r="AZ112" s="8"/>
      <c r="BA112" s="8"/>
      <c r="BB112" s="8">
        <v>9</v>
      </c>
      <c r="BC112" s="8"/>
      <c r="BD112" s="8"/>
      <c r="BE112" s="8"/>
    </row>
    <row r="113" spans="2:57" x14ac:dyDescent="0.3">
      <c r="B113" s="24" t="s">
        <v>272</v>
      </c>
      <c r="C113" s="24" t="s">
        <v>246</v>
      </c>
      <c r="D113" s="24">
        <v>100031</v>
      </c>
      <c r="E113" s="24" t="s">
        <v>224</v>
      </c>
      <c r="F113" s="24">
        <v>4500019879</v>
      </c>
      <c r="G113" s="24">
        <v>310</v>
      </c>
      <c r="H113" s="24"/>
      <c r="I113" s="24" t="s">
        <v>301</v>
      </c>
      <c r="J113" s="24" t="s">
        <v>226</v>
      </c>
      <c r="K113" s="24" t="s">
        <v>227</v>
      </c>
      <c r="L113" s="24" t="s">
        <v>274</v>
      </c>
      <c r="M113" s="24" t="s">
        <v>303</v>
      </c>
      <c r="N113" s="24" t="s">
        <v>230</v>
      </c>
      <c r="O113" s="24" t="s">
        <v>203</v>
      </c>
      <c r="P113" s="24" t="s">
        <v>437</v>
      </c>
      <c r="Q113" s="24" t="s">
        <v>438</v>
      </c>
      <c r="R113" s="24">
        <v>20170918</v>
      </c>
      <c r="S113" s="24" t="s">
        <v>371</v>
      </c>
      <c r="T113" s="24">
        <v>20171018</v>
      </c>
      <c r="U113" s="24">
        <v>0</v>
      </c>
      <c r="V113" s="24">
        <v>9</v>
      </c>
      <c r="W113" s="24" t="s">
        <v>234</v>
      </c>
      <c r="X113" s="24">
        <v>9</v>
      </c>
      <c r="Y113" s="24" t="s">
        <v>234</v>
      </c>
      <c r="Z113" s="24">
        <v>0</v>
      </c>
      <c r="AA113" s="24"/>
      <c r="AB113" s="24">
        <v>0</v>
      </c>
      <c r="AC113" s="24"/>
      <c r="AD113" s="24">
        <v>18</v>
      </c>
      <c r="AE113" s="24" t="s">
        <v>235</v>
      </c>
      <c r="AF113" s="24">
        <v>19.8</v>
      </c>
      <c r="AG113" s="24" t="s">
        <v>235</v>
      </c>
      <c r="AH113" s="24">
        <v>54.648000000000003</v>
      </c>
      <c r="AI113" s="24" t="s">
        <v>236</v>
      </c>
      <c r="AJ113" s="24">
        <v>414.83</v>
      </c>
      <c r="AK113" s="24">
        <v>0</v>
      </c>
      <c r="AL113" s="24">
        <v>0</v>
      </c>
      <c r="AM113" s="24" t="s">
        <v>237</v>
      </c>
      <c r="AN113" s="24">
        <v>0</v>
      </c>
      <c r="AO113" s="24"/>
      <c r="AP113" s="24">
        <v>0</v>
      </c>
      <c r="AT113" t="s">
        <v>191</v>
      </c>
      <c r="AU113" s="8"/>
      <c r="AV113" s="8"/>
      <c r="AW113" s="8"/>
      <c r="AX113" s="8"/>
      <c r="AY113" s="8"/>
      <c r="AZ113" s="8"/>
      <c r="BA113" s="8"/>
      <c r="BB113" s="8">
        <v>18</v>
      </c>
      <c r="BC113" s="8"/>
      <c r="BD113" s="8"/>
      <c r="BE113" s="8"/>
    </row>
    <row r="114" spans="2:57" x14ac:dyDescent="0.3">
      <c r="B114" s="24" t="s">
        <v>272</v>
      </c>
      <c r="C114" s="24" t="s">
        <v>246</v>
      </c>
      <c r="D114" s="24">
        <v>100031</v>
      </c>
      <c r="E114" s="24" t="s">
        <v>224</v>
      </c>
      <c r="F114" s="24">
        <v>4500019879</v>
      </c>
      <c r="G114" s="24">
        <v>320</v>
      </c>
      <c r="H114" s="24"/>
      <c r="I114" s="24" t="s">
        <v>301</v>
      </c>
      <c r="J114" s="24" t="s">
        <v>226</v>
      </c>
      <c r="K114" s="24" t="s">
        <v>227</v>
      </c>
      <c r="L114" s="24" t="s">
        <v>302</v>
      </c>
      <c r="M114" s="24" t="s">
        <v>439</v>
      </c>
      <c r="N114" s="24" t="s">
        <v>230</v>
      </c>
      <c r="O114" s="24" t="s">
        <v>204</v>
      </c>
      <c r="P114" s="24" t="s">
        <v>440</v>
      </c>
      <c r="Q114" s="24" t="s">
        <v>441</v>
      </c>
      <c r="R114" s="24">
        <v>20170918</v>
      </c>
      <c r="S114" s="24" t="s">
        <v>371</v>
      </c>
      <c r="T114" s="24">
        <v>20171018</v>
      </c>
      <c r="U114" s="24">
        <v>0</v>
      </c>
      <c r="V114" s="24">
        <v>8</v>
      </c>
      <c r="W114" s="24" t="s">
        <v>234</v>
      </c>
      <c r="X114" s="24">
        <v>8</v>
      </c>
      <c r="Y114" s="24" t="s">
        <v>234</v>
      </c>
      <c r="Z114" s="24">
        <v>0</v>
      </c>
      <c r="AA114" s="24"/>
      <c r="AB114" s="24">
        <v>0</v>
      </c>
      <c r="AC114" s="24"/>
      <c r="AD114" s="24">
        <v>2</v>
      </c>
      <c r="AE114" s="24" t="s">
        <v>235</v>
      </c>
      <c r="AF114" s="24">
        <v>2.4</v>
      </c>
      <c r="AG114" s="24" t="s">
        <v>235</v>
      </c>
      <c r="AH114" s="24">
        <v>11.88</v>
      </c>
      <c r="AI114" s="24" t="s">
        <v>236</v>
      </c>
      <c r="AJ114" s="24">
        <v>59.46</v>
      </c>
      <c r="AK114" s="24">
        <v>0</v>
      </c>
      <c r="AL114" s="24">
        <v>0</v>
      </c>
      <c r="AM114" s="24" t="s">
        <v>237</v>
      </c>
      <c r="AN114" s="24">
        <v>0</v>
      </c>
      <c r="AO114" s="24"/>
      <c r="AP114" s="24">
        <v>0</v>
      </c>
      <c r="AT114" t="s">
        <v>192</v>
      </c>
      <c r="AU114" s="8"/>
      <c r="AV114" s="8"/>
      <c r="AW114" s="8"/>
      <c r="AX114" s="8"/>
      <c r="AY114" s="8"/>
      <c r="AZ114" s="8"/>
      <c r="BA114" s="8"/>
      <c r="BB114" s="8">
        <v>18</v>
      </c>
      <c r="BC114" s="8"/>
      <c r="BD114" s="8"/>
      <c r="BE114" s="8"/>
    </row>
    <row r="115" spans="2:57" x14ac:dyDescent="0.3">
      <c r="B115" s="24" t="s">
        <v>272</v>
      </c>
      <c r="C115" s="24" t="s">
        <v>246</v>
      </c>
      <c r="D115" s="24">
        <v>100031</v>
      </c>
      <c r="E115" s="24" t="s">
        <v>224</v>
      </c>
      <c r="F115" s="24">
        <v>4500019879</v>
      </c>
      <c r="G115" s="24">
        <v>330</v>
      </c>
      <c r="H115" s="24"/>
      <c r="I115" s="24" t="s">
        <v>301</v>
      </c>
      <c r="J115" s="24" t="s">
        <v>226</v>
      </c>
      <c r="K115" s="24" t="s">
        <v>227</v>
      </c>
      <c r="L115" s="24" t="s">
        <v>274</v>
      </c>
      <c r="M115" s="24" t="s">
        <v>275</v>
      </c>
      <c r="N115" s="24" t="s">
        <v>230</v>
      </c>
      <c r="O115" s="24" t="s">
        <v>205</v>
      </c>
      <c r="P115" s="24" t="s">
        <v>442</v>
      </c>
      <c r="Q115" s="24" t="s">
        <v>443</v>
      </c>
      <c r="R115" s="24">
        <v>20170918</v>
      </c>
      <c r="S115" s="24" t="s">
        <v>371</v>
      </c>
      <c r="T115" s="24">
        <v>20171018</v>
      </c>
      <c r="U115" s="24">
        <v>0</v>
      </c>
      <c r="V115" s="24">
        <v>3</v>
      </c>
      <c r="W115" s="24" t="s">
        <v>279</v>
      </c>
      <c r="X115" s="24">
        <v>3</v>
      </c>
      <c r="Y115" s="24" t="s">
        <v>279</v>
      </c>
      <c r="Z115" s="24">
        <v>0</v>
      </c>
      <c r="AA115" s="24"/>
      <c r="AB115" s="24">
        <v>0</v>
      </c>
      <c r="AC115" s="24"/>
      <c r="AD115" s="24">
        <v>4.68</v>
      </c>
      <c r="AE115" s="24" t="s">
        <v>235</v>
      </c>
      <c r="AF115" s="24">
        <v>4.68</v>
      </c>
      <c r="AG115" s="24" t="s">
        <v>235</v>
      </c>
      <c r="AH115" s="24">
        <v>0</v>
      </c>
      <c r="AI115" s="24" t="s">
        <v>236</v>
      </c>
      <c r="AJ115" s="24">
        <v>149.76</v>
      </c>
      <c r="AK115" s="24">
        <v>0</v>
      </c>
      <c r="AL115" s="24">
        <v>0</v>
      </c>
      <c r="AM115" s="24" t="s">
        <v>237</v>
      </c>
      <c r="AN115" s="24">
        <v>0</v>
      </c>
      <c r="AO115" s="24"/>
      <c r="AP115" s="24">
        <v>0</v>
      </c>
      <c r="AT115" t="s">
        <v>193</v>
      </c>
      <c r="AU115" s="8"/>
      <c r="AV115" s="8"/>
      <c r="AW115" s="8"/>
      <c r="AX115" s="8"/>
      <c r="AY115" s="8"/>
      <c r="AZ115" s="8"/>
      <c r="BA115" s="8"/>
      <c r="BB115" s="8">
        <v>30</v>
      </c>
      <c r="BC115" s="8"/>
      <c r="BD115" s="8"/>
      <c r="BE115" s="8"/>
    </row>
    <row r="116" spans="2:57" x14ac:dyDescent="0.3">
      <c r="B116" s="24" t="s">
        <v>272</v>
      </c>
      <c r="C116" s="24" t="s">
        <v>246</v>
      </c>
      <c r="D116" s="24">
        <v>100031</v>
      </c>
      <c r="E116" s="24" t="s">
        <v>224</v>
      </c>
      <c r="F116" s="24">
        <v>4500019879</v>
      </c>
      <c r="G116" s="24">
        <v>340</v>
      </c>
      <c r="H116" s="24"/>
      <c r="I116" s="24" t="s">
        <v>301</v>
      </c>
      <c r="J116" s="24" t="s">
        <v>226</v>
      </c>
      <c r="K116" s="24" t="s">
        <v>227</v>
      </c>
      <c r="L116" s="24" t="s">
        <v>284</v>
      </c>
      <c r="M116" s="24" t="s">
        <v>240</v>
      </c>
      <c r="N116" s="24" t="s">
        <v>230</v>
      </c>
      <c r="O116" s="24" t="s">
        <v>206</v>
      </c>
      <c r="P116" s="24" t="s">
        <v>444</v>
      </c>
      <c r="Q116" s="24" t="s">
        <v>445</v>
      </c>
      <c r="R116" s="24">
        <v>20170918</v>
      </c>
      <c r="S116" s="24" t="s">
        <v>371</v>
      </c>
      <c r="T116" s="24">
        <v>20171018</v>
      </c>
      <c r="U116" s="24">
        <v>0</v>
      </c>
      <c r="V116" s="24">
        <v>60</v>
      </c>
      <c r="W116" s="24" t="s">
        <v>234</v>
      </c>
      <c r="X116" s="24">
        <v>60</v>
      </c>
      <c r="Y116" s="24" t="s">
        <v>234</v>
      </c>
      <c r="Z116" s="24">
        <v>0</v>
      </c>
      <c r="AA116" s="24"/>
      <c r="AB116" s="24">
        <v>0</v>
      </c>
      <c r="AC116" s="24"/>
      <c r="AD116" s="24">
        <v>4.2</v>
      </c>
      <c r="AE116" s="24" t="s">
        <v>235</v>
      </c>
      <c r="AF116" s="24">
        <v>4.8</v>
      </c>
      <c r="AG116" s="24" t="s">
        <v>235</v>
      </c>
      <c r="AH116" s="24">
        <v>12</v>
      </c>
      <c r="AI116" s="24" t="s">
        <v>236</v>
      </c>
      <c r="AJ116" s="24">
        <v>91.8</v>
      </c>
      <c r="AK116" s="24">
        <v>0</v>
      </c>
      <c r="AL116" s="24">
        <v>0</v>
      </c>
      <c r="AM116" s="24" t="s">
        <v>237</v>
      </c>
      <c r="AN116" s="24">
        <v>0</v>
      </c>
      <c r="AO116" s="24"/>
      <c r="AP116" s="24">
        <v>0</v>
      </c>
      <c r="AT116" t="s">
        <v>194</v>
      </c>
      <c r="AU116" s="8"/>
      <c r="AV116" s="8"/>
      <c r="AW116" s="8"/>
      <c r="AX116" s="8"/>
      <c r="AY116" s="8"/>
      <c r="AZ116" s="8"/>
      <c r="BA116" s="8"/>
      <c r="BB116" s="8">
        <v>13</v>
      </c>
      <c r="BC116" s="8"/>
      <c r="BD116" s="8"/>
      <c r="BE116" s="8"/>
    </row>
    <row r="117" spans="2:57" x14ac:dyDescent="0.3">
      <c r="B117" s="24" t="s">
        <v>272</v>
      </c>
      <c r="C117" s="24" t="s">
        <v>246</v>
      </c>
      <c r="D117" s="24">
        <v>100031</v>
      </c>
      <c r="E117" s="24" t="s">
        <v>224</v>
      </c>
      <c r="F117" s="24">
        <v>4500019879</v>
      </c>
      <c r="G117" s="24">
        <v>350</v>
      </c>
      <c r="H117" s="24"/>
      <c r="I117" s="24" t="s">
        <v>301</v>
      </c>
      <c r="J117" s="24" t="s">
        <v>226</v>
      </c>
      <c r="K117" s="24" t="s">
        <v>227</v>
      </c>
      <c r="L117" s="24" t="s">
        <v>284</v>
      </c>
      <c r="M117" s="24" t="s">
        <v>240</v>
      </c>
      <c r="N117" s="24" t="s">
        <v>230</v>
      </c>
      <c r="O117" s="24" t="s">
        <v>207</v>
      </c>
      <c r="P117" s="24" t="s">
        <v>446</v>
      </c>
      <c r="Q117" s="24" t="s">
        <v>447</v>
      </c>
      <c r="R117" s="24">
        <v>20170918</v>
      </c>
      <c r="S117" s="24" t="s">
        <v>371</v>
      </c>
      <c r="T117" s="24">
        <v>20171018</v>
      </c>
      <c r="U117" s="24">
        <v>0</v>
      </c>
      <c r="V117" s="24">
        <v>60</v>
      </c>
      <c r="W117" s="24" t="s">
        <v>234</v>
      </c>
      <c r="X117" s="24">
        <v>60</v>
      </c>
      <c r="Y117" s="24" t="s">
        <v>234</v>
      </c>
      <c r="Z117" s="24">
        <v>0</v>
      </c>
      <c r="AA117" s="24"/>
      <c r="AB117" s="24">
        <v>0</v>
      </c>
      <c r="AC117" s="24"/>
      <c r="AD117" s="24">
        <v>4.2</v>
      </c>
      <c r="AE117" s="24" t="s">
        <v>235</v>
      </c>
      <c r="AF117" s="24">
        <v>4.8</v>
      </c>
      <c r="AG117" s="24" t="s">
        <v>235</v>
      </c>
      <c r="AH117" s="24">
        <v>12</v>
      </c>
      <c r="AI117" s="24" t="s">
        <v>236</v>
      </c>
      <c r="AJ117" s="24">
        <v>91.8</v>
      </c>
      <c r="AK117" s="24">
        <v>0</v>
      </c>
      <c r="AL117" s="24">
        <v>0</v>
      </c>
      <c r="AM117" s="24" t="s">
        <v>237</v>
      </c>
      <c r="AN117" s="24">
        <v>0</v>
      </c>
      <c r="AO117" s="24"/>
      <c r="AP117" s="24">
        <v>0</v>
      </c>
      <c r="AT117" t="s">
        <v>195</v>
      </c>
      <c r="AU117" s="8"/>
      <c r="AV117" s="8"/>
      <c r="AW117" s="8"/>
      <c r="AX117" s="8"/>
      <c r="AY117" s="8"/>
      <c r="AZ117" s="8"/>
      <c r="BA117" s="8"/>
      <c r="BB117" s="8">
        <v>7</v>
      </c>
      <c r="BC117" s="8"/>
      <c r="BD117" s="8"/>
      <c r="BE117" s="8"/>
    </row>
    <row r="118" spans="2:57" x14ac:dyDescent="0.3">
      <c r="B118" s="24" t="s">
        <v>272</v>
      </c>
      <c r="C118" s="24" t="s">
        <v>246</v>
      </c>
      <c r="D118" s="24">
        <v>100031</v>
      </c>
      <c r="E118" s="24" t="s">
        <v>224</v>
      </c>
      <c r="F118" s="24">
        <v>4500019879</v>
      </c>
      <c r="G118" s="24">
        <v>360</v>
      </c>
      <c r="H118" s="24"/>
      <c r="I118" s="24" t="s">
        <v>301</v>
      </c>
      <c r="J118" s="24" t="s">
        <v>226</v>
      </c>
      <c r="K118" s="24" t="s">
        <v>227</v>
      </c>
      <c r="L118" s="24" t="s">
        <v>284</v>
      </c>
      <c r="M118" s="24" t="s">
        <v>240</v>
      </c>
      <c r="N118" s="24" t="s">
        <v>230</v>
      </c>
      <c r="O118" s="24" t="s">
        <v>208</v>
      </c>
      <c r="P118" s="24" t="s">
        <v>448</v>
      </c>
      <c r="Q118" s="24" t="s">
        <v>449</v>
      </c>
      <c r="R118" s="24">
        <v>20170918</v>
      </c>
      <c r="S118" s="24" t="s">
        <v>371</v>
      </c>
      <c r="T118" s="24">
        <v>20171018</v>
      </c>
      <c r="U118" s="24">
        <v>0</v>
      </c>
      <c r="V118" s="24">
        <v>24</v>
      </c>
      <c r="W118" s="24" t="s">
        <v>234</v>
      </c>
      <c r="X118" s="24">
        <v>24</v>
      </c>
      <c r="Y118" s="24" t="s">
        <v>234</v>
      </c>
      <c r="Z118" s="24">
        <v>0</v>
      </c>
      <c r="AA118" s="24"/>
      <c r="AB118" s="24">
        <v>0</v>
      </c>
      <c r="AC118" s="24"/>
      <c r="AD118" s="24">
        <v>1.68</v>
      </c>
      <c r="AE118" s="24" t="s">
        <v>235</v>
      </c>
      <c r="AF118" s="24">
        <v>1.92</v>
      </c>
      <c r="AG118" s="24" t="s">
        <v>235</v>
      </c>
      <c r="AH118" s="24">
        <v>4.8</v>
      </c>
      <c r="AI118" s="24" t="s">
        <v>236</v>
      </c>
      <c r="AJ118" s="24">
        <v>36.72</v>
      </c>
      <c r="AK118" s="24">
        <v>0</v>
      </c>
      <c r="AL118" s="24">
        <v>0</v>
      </c>
      <c r="AM118" s="24" t="s">
        <v>237</v>
      </c>
      <c r="AN118" s="24">
        <v>0</v>
      </c>
      <c r="AO118" s="24"/>
      <c r="AP118" s="24">
        <v>0</v>
      </c>
      <c r="AT118" t="s">
        <v>196</v>
      </c>
      <c r="AU118" s="8"/>
      <c r="AV118" s="8"/>
      <c r="AW118" s="8"/>
      <c r="AX118" s="8"/>
      <c r="AY118" s="8"/>
      <c r="AZ118" s="8"/>
      <c r="BA118" s="8"/>
      <c r="BB118" s="8">
        <v>5</v>
      </c>
      <c r="BC118" s="8"/>
      <c r="BD118" s="8"/>
      <c r="BE118" s="8"/>
    </row>
    <row r="119" spans="2:57" x14ac:dyDescent="0.3">
      <c r="B119" s="24" t="s">
        <v>272</v>
      </c>
      <c r="C119" s="24" t="s">
        <v>246</v>
      </c>
      <c r="D119" s="24">
        <v>100031</v>
      </c>
      <c r="E119" s="24" t="s">
        <v>224</v>
      </c>
      <c r="F119" s="24">
        <v>4500019879</v>
      </c>
      <c r="G119" s="24">
        <v>370</v>
      </c>
      <c r="H119" s="24"/>
      <c r="I119" s="24" t="s">
        <v>301</v>
      </c>
      <c r="J119" s="24" t="s">
        <v>226</v>
      </c>
      <c r="K119" s="24" t="s">
        <v>227</v>
      </c>
      <c r="L119" s="24" t="s">
        <v>284</v>
      </c>
      <c r="M119" s="24" t="s">
        <v>240</v>
      </c>
      <c r="N119" s="24" t="s">
        <v>230</v>
      </c>
      <c r="O119" s="24" t="s">
        <v>209</v>
      </c>
      <c r="P119" s="24" t="s">
        <v>450</v>
      </c>
      <c r="Q119" s="24" t="s">
        <v>451</v>
      </c>
      <c r="R119" s="24">
        <v>20170918</v>
      </c>
      <c r="S119" s="24" t="s">
        <v>371</v>
      </c>
      <c r="T119" s="24">
        <v>20171018</v>
      </c>
      <c r="U119" s="24">
        <v>0</v>
      </c>
      <c r="V119" s="24">
        <v>150</v>
      </c>
      <c r="W119" s="24" t="s">
        <v>234</v>
      </c>
      <c r="X119" s="24">
        <v>150</v>
      </c>
      <c r="Y119" s="24" t="s">
        <v>234</v>
      </c>
      <c r="Z119" s="24">
        <v>0</v>
      </c>
      <c r="AA119" s="24"/>
      <c r="AB119" s="24">
        <v>0</v>
      </c>
      <c r="AC119" s="24"/>
      <c r="AD119" s="24">
        <v>3</v>
      </c>
      <c r="AE119" s="24" t="s">
        <v>235</v>
      </c>
      <c r="AF119" s="24">
        <v>6</v>
      </c>
      <c r="AG119" s="24" t="s">
        <v>235</v>
      </c>
      <c r="AH119" s="24">
        <v>30</v>
      </c>
      <c r="AI119" s="24" t="s">
        <v>236</v>
      </c>
      <c r="AJ119" s="24">
        <v>69.75</v>
      </c>
      <c r="AK119" s="24">
        <v>0</v>
      </c>
      <c r="AL119" s="24">
        <v>0</v>
      </c>
      <c r="AM119" s="24" t="s">
        <v>237</v>
      </c>
      <c r="AN119" s="24">
        <v>0</v>
      </c>
      <c r="AO119" s="24"/>
      <c r="AP119" s="24">
        <v>0</v>
      </c>
      <c r="AT119" t="s">
        <v>197</v>
      </c>
      <c r="AU119" s="8"/>
      <c r="AV119" s="8"/>
      <c r="AW119" s="8"/>
      <c r="AX119" s="8"/>
      <c r="AY119" s="8"/>
      <c r="AZ119" s="8"/>
      <c r="BA119" s="8"/>
      <c r="BB119" s="8">
        <v>12</v>
      </c>
      <c r="BC119" s="8"/>
      <c r="BD119" s="8"/>
      <c r="BE119" s="8"/>
    </row>
    <row r="120" spans="2:57" x14ac:dyDescent="0.3">
      <c r="B120" s="24" t="s">
        <v>272</v>
      </c>
      <c r="C120" s="24" t="s">
        <v>246</v>
      </c>
      <c r="D120" s="24">
        <v>100031</v>
      </c>
      <c r="E120" s="24" t="s">
        <v>224</v>
      </c>
      <c r="F120" s="24">
        <v>4500019879</v>
      </c>
      <c r="G120" s="24">
        <v>380</v>
      </c>
      <c r="H120" s="24"/>
      <c r="I120" s="24" t="s">
        <v>301</v>
      </c>
      <c r="J120" s="24" t="s">
        <v>226</v>
      </c>
      <c r="K120" s="24" t="s">
        <v>227</v>
      </c>
      <c r="L120" s="24" t="s">
        <v>284</v>
      </c>
      <c r="M120" s="24" t="s">
        <v>240</v>
      </c>
      <c r="N120" s="24" t="s">
        <v>230</v>
      </c>
      <c r="O120" s="24" t="s">
        <v>210</v>
      </c>
      <c r="P120" s="24" t="s">
        <v>452</v>
      </c>
      <c r="Q120" s="24" t="s">
        <v>453</v>
      </c>
      <c r="R120" s="24">
        <v>20170918</v>
      </c>
      <c r="S120" s="24" t="s">
        <v>371</v>
      </c>
      <c r="T120" s="24">
        <v>20171018</v>
      </c>
      <c r="U120" s="24">
        <v>0</v>
      </c>
      <c r="V120" s="24">
        <v>300</v>
      </c>
      <c r="W120" s="24" t="s">
        <v>234</v>
      </c>
      <c r="X120" s="24">
        <v>300</v>
      </c>
      <c r="Y120" s="24" t="s">
        <v>234</v>
      </c>
      <c r="Z120" s="24">
        <v>0</v>
      </c>
      <c r="AA120" s="24"/>
      <c r="AB120" s="24">
        <v>0</v>
      </c>
      <c r="AC120" s="24"/>
      <c r="AD120" s="24">
        <v>6</v>
      </c>
      <c r="AE120" s="24" t="s">
        <v>235</v>
      </c>
      <c r="AF120" s="24">
        <v>12</v>
      </c>
      <c r="AG120" s="24" t="s">
        <v>235</v>
      </c>
      <c r="AH120" s="24">
        <v>60</v>
      </c>
      <c r="AI120" s="24" t="s">
        <v>236</v>
      </c>
      <c r="AJ120" s="24">
        <v>139.5</v>
      </c>
      <c r="AK120" s="24">
        <v>0</v>
      </c>
      <c r="AL120" s="24">
        <v>0</v>
      </c>
      <c r="AM120" s="24" t="s">
        <v>237</v>
      </c>
      <c r="AN120" s="24">
        <v>0</v>
      </c>
      <c r="AO120" s="24"/>
      <c r="AP120" s="24">
        <v>0</v>
      </c>
      <c r="AT120" t="s">
        <v>198</v>
      </c>
      <c r="AU120" s="8"/>
      <c r="AV120" s="8"/>
      <c r="AW120" s="8"/>
      <c r="AX120" s="8"/>
      <c r="AY120" s="8"/>
      <c r="AZ120" s="8"/>
      <c r="BA120" s="8"/>
      <c r="BB120" s="8">
        <v>2</v>
      </c>
      <c r="BC120" s="8"/>
      <c r="BD120" s="8"/>
      <c r="BE120" s="8"/>
    </row>
    <row r="121" spans="2:57" x14ac:dyDescent="0.3">
      <c r="B121" s="24" t="s">
        <v>272</v>
      </c>
      <c r="C121" s="24" t="s">
        <v>246</v>
      </c>
      <c r="D121" s="24">
        <v>100031</v>
      </c>
      <c r="E121" s="24" t="s">
        <v>224</v>
      </c>
      <c r="F121" s="24">
        <v>4500019879</v>
      </c>
      <c r="G121" s="24">
        <v>390</v>
      </c>
      <c r="H121" s="24"/>
      <c r="I121" s="24" t="s">
        <v>301</v>
      </c>
      <c r="J121" s="24" t="s">
        <v>226</v>
      </c>
      <c r="K121" s="24" t="s">
        <v>227</v>
      </c>
      <c r="L121" s="24" t="s">
        <v>284</v>
      </c>
      <c r="M121" s="24" t="s">
        <v>240</v>
      </c>
      <c r="N121" s="24" t="s">
        <v>230</v>
      </c>
      <c r="O121" s="24" t="s">
        <v>211</v>
      </c>
      <c r="P121" s="24" t="s">
        <v>454</v>
      </c>
      <c r="Q121" s="24" t="s">
        <v>455</v>
      </c>
      <c r="R121" s="24">
        <v>20170918</v>
      </c>
      <c r="S121" s="24" t="s">
        <v>371</v>
      </c>
      <c r="T121" s="24">
        <v>20171018</v>
      </c>
      <c r="U121" s="24">
        <v>0</v>
      </c>
      <c r="V121" s="24">
        <v>550</v>
      </c>
      <c r="W121" s="24" t="s">
        <v>234</v>
      </c>
      <c r="X121" s="24">
        <v>550</v>
      </c>
      <c r="Y121" s="24" t="s">
        <v>234</v>
      </c>
      <c r="Z121" s="24">
        <v>0</v>
      </c>
      <c r="AA121" s="24"/>
      <c r="AB121" s="24">
        <v>0</v>
      </c>
      <c r="AC121" s="24"/>
      <c r="AD121" s="24">
        <v>11</v>
      </c>
      <c r="AE121" s="24" t="s">
        <v>235</v>
      </c>
      <c r="AF121" s="24">
        <v>22</v>
      </c>
      <c r="AG121" s="24" t="s">
        <v>235</v>
      </c>
      <c r="AH121" s="24">
        <v>110</v>
      </c>
      <c r="AI121" s="24" t="s">
        <v>236</v>
      </c>
      <c r="AJ121" s="24">
        <v>255.75</v>
      </c>
      <c r="AK121" s="24">
        <v>0</v>
      </c>
      <c r="AL121" s="24">
        <v>0</v>
      </c>
      <c r="AM121" s="24" t="s">
        <v>237</v>
      </c>
      <c r="AN121" s="24">
        <v>0</v>
      </c>
      <c r="AO121" s="24"/>
      <c r="AP121" s="24">
        <v>0</v>
      </c>
      <c r="AT121" t="s">
        <v>199</v>
      </c>
      <c r="AU121" s="8"/>
      <c r="AV121" s="8"/>
      <c r="AW121" s="8"/>
      <c r="AX121" s="8"/>
      <c r="AY121" s="8"/>
      <c r="AZ121" s="8"/>
      <c r="BA121" s="8"/>
      <c r="BB121" s="8">
        <v>12</v>
      </c>
      <c r="BC121" s="8"/>
      <c r="BD121" s="8"/>
      <c r="BE121" s="8"/>
    </row>
    <row r="122" spans="2:57" x14ac:dyDescent="0.3">
      <c r="B122" s="24" t="s">
        <v>272</v>
      </c>
      <c r="C122" s="24" t="s">
        <v>246</v>
      </c>
      <c r="D122" s="24">
        <v>100031</v>
      </c>
      <c r="E122" s="24" t="s">
        <v>224</v>
      </c>
      <c r="F122" s="24">
        <v>4500019879</v>
      </c>
      <c r="G122" s="24">
        <v>400</v>
      </c>
      <c r="H122" s="24"/>
      <c r="I122" s="24" t="s">
        <v>301</v>
      </c>
      <c r="J122" s="24" t="s">
        <v>226</v>
      </c>
      <c r="K122" s="24" t="s">
        <v>227</v>
      </c>
      <c r="L122" s="24" t="s">
        <v>284</v>
      </c>
      <c r="M122" s="24" t="s">
        <v>240</v>
      </c>
      <c r="N122" s="24" t="s">
        <v>230</v>
      </c>
      <c r="O122" s="24" t="s">
        <v>212</v>
      </c>
      <c r="P122" s="24" t="s">
        <v>456</v>
      </c>
      <c r="Q122" s="24" t="s">
        <v>457</v>
      </c>
      <c r="R122" s="24">
        <v>20170918</v>
      </c>
      <c r="S122" s="24" t="s">
        <v>371</v>
      </c>
      <c r="T122" s="24">
        <v>20171018</v>
      </c>
      <c r="U122" s="24">
        <v>0</v>
      </c>
      <c r="V122" s="24">
        <v>20</v>
      </c>
      <c r="W122" s="24" t="s">
        <v>234</v>
      </c>
      <c r="X122" s="24">
        <v>20</v>
      </c>
      <c r="Y122" s="24" t="s">
        <v>234</v>
      </c>
      <c r="Z122" s="24">
        <v>0</v>
      </c>
      <c r="AA122" s="24"/>
      <c r="AB122" s="24">
        <v>0</v>
      </c>
      <c r="AC122" s="24"/>
      <c r="AD122" s="24">
        <v>1.7</v>
      </c>
      <c r="AE122" s="24" t="s">
        <v>235</v>
      </c>
      <c r="AF122" s="24">
        <v>2</v>
      </c>
      <c r="AG122" s="24" t="s">
        <v>235</v>
      </c>
      <c r="AH122" s="24">
        <v>0</v>
      </c>
      <c r="AI122" s="24" t="s">
        <v>236</v>
      </c>
      <c r="AJ122" s="24">
        <v>31.2</v>
      </c>
      <c r="AK122" s="24">
        <v>0</v>
      </c>
      <c r="AL122" s="24">
        <v>0</v>
      </c>
      <c r="AM122" s="24" t="s">
        <v>237</v>
      </c>
      <c r="AN122" s="24">
        <v>0</v>
      </c>
      <c r="AO122" s="24"/>
      <c r="AP122" s="24">
        <v>0</v>
      </c>
      <c r="AT122" t="s">
        <v>200</v>
      </c>
      <c r="AU122" s="8"/>
      <c r="AV122" s="8"/>
      <c r="AW122" s="8"/>
      <c r="AX122" s="8"/>
      <c r="AY122" s="8"/>
      <c r="AZ122" s="8"/>
      <c r="BA122" s="8"/>
      <c r="BB122" s="8">
        <v>7</v>
      </c>
      <c r="BC122" s="8"/>
      <c r="BD122" s="8"/>
      <c r="BE122" s="8"/>
    </row>
    <row r="123" spans="2:57" x14ac:dyDescent="0.3">
      <c r="B123" s="24" t="s">
        <v>272</v>
      </c>
      <c r="C123" s="24" t="s">
        <v>246</v>
      </c>
      <c r="D123" s="24">
        <v>100031</v>
      </c>
      <c r="E123" s="24" t="s">
        <v>224</v>
      </c>
      <c r="F123" s="24">
        <v>4500019879</v>
      </c>
      <c r="G123" s="24">
        <v>410</v>
      </c>
      <c r="H123" s="24"/>
      <c r="I123" s="24" t="s">
        <v>301</v>
      </c>
      <c r="J123" s="24" t="s">
        <v>226</v>
      </c>
      <c r="K123" s="24" t="s">
        <v>227</v>
      </c>
      <c r="L123" s="24" t="s">
        <v>274</v>
      </c>
      <c r="M123" s="24" t="s">
        <v>303</v>
      </c>
      <c r="N123" s="24" t="s">
        <v>230</v>
      </c>
      <c r="O123" s="24" t="s">
        <v>213</v>
      </c>
      <c r="P123" s="24" t="s">
        <v>458</v>
      </c>
      <c r="Q123" s="24" t="s">
        <v>459</v>
      </c>
      <c r="R123" s="24">
        <v>20170918</v>
      </c>
      <c r="S123" s="24" t="s">
        <v>371</v>
      </c>
      <c r="T123" s="24">
        <v>20171018</v>
      </c>
      <c r="U123" s="24">
        <v>0</v>
      </c>
      <c r="V123" s="24">
        <v>16</v>
      </c>
      <c r="W123" s="24" t="s">
        <v>234</v>
      </c>
      <c r="X123" s="24">
        <v>16</v>
      </c>
      <c r="Y123" s="24" t="s">
        <v>234</v>
      </c>
      <c r="Z123" s="24">
        <v>0</v>
      </c>
      <c r="AA123" s="24"/>
      <c r="AB123" s="24">
        <v>0</v>
      </c>
      <c r="AC123" s="24"/>
      <c r="AD123" s="24">
        <v>19.2</v>
      </c>
      <c r="AE123" s="24" t="s">
        <v>235</v>
      </c>
      <c r="AF123" s="24">
        <v>22.4</v>
      </c>
      <c r="AG123" s="24" t="s">
        <v>235</v>
      </c>
      <c r="AH123" s="24">
        <v>192</v>
      </c>
      <c r="AI123" s="24" t="s">
        <v>236</v>
      </c>
      <c r="AJ123" s="24">
        <v>487.29</v>
      </c>
      <c r="AK123" s="24">
        <v>0</v>
      </c>
      <c r="AL123" s="24">
        <v>0</v>
      </c>
      <c r="AM123" s="24" t="s">
        <v>237</v>
      </c>
      <c r="AN123" s="24">
        <v>0</v>
      </c>
      <c r="AO123" s="24"/>
      <c r="AP123" s="24">
        <v>0</v>
      </c>
      <c r="AT123" t="s">
        <v>201</v>
      </c>
      <c r="AU123" s="8"/>
      <c r="AV123" s="8"/>
      <c r="AW123" s="8"/>
      <c r="AX123" s="8"/>
      <c r="AY123" s="8"/>
      <c r="AZ123" s="8"/>
      <c r="BA123" s="8"/>
      <c r="BB123" s="8">
        <v>11</v>
      </c>
      <c r="BC123" s="8"/>
      <c r="BD123" s="8"/>
      <c r="BE123" s="8"/>
    </row>
    <row r="124" spans="2:57" x14ac:dyDescent="0.3">
      <c r="B124" s="24" t="s">
        <v>272</v>
      </c>
      <c r="C124" s="24" t="s">
        <v>246</v>
      </c>
      <c r="D124" s="24">
        <v>100031</v>
      </c>
      <c r="E124" s="24" t="s">
        <v>224</v>
      </c>
      <c r="F124" s="24">
        <v>4500019879</v>
      </c>
      <c r="G124" s="24">
        <v>420</v>
      </c>
      <c r="H124" s="24"/>
      <c r="I124" s="24" t="s">
        <v>301</v>
      </c>
      <c r="J124" s="24" t="s">
        <v>226</v>
      </c>
      <c r="K124" s="24" t="s">
        <v>227</v>
      </c>
      <c r="L124" s="24" t="s">
        <v>274</v>
      </c>
      <c r="M124" s="24" t="s">
        <v>303</v>
      </c>
      <c r="N124" s="24" t="s">
        <v>230</v>
      </c>
      <c r="O124" s="24" t="s">
        <v>214</v>
      </c>
      <c r="P124" s="24" t="s">
        <v>460</v>
      </c>
      <c r="Q124" s="24" t="s">
        <v>461</v>
      </c>
      <c r="R124" s="24">
        <v>20170918</v>
      </c>
      <c r="S124" s="24" t="s">
        <v>371</v>
      </c>
      <c r="T124" s="24">
        <v>20171018</v>
      </c>
      <c r="U124" s="24">
        <v>0</v>
      </c>
      <c r="V124" s="24">
        <v>9</v>
      </c>
      <c r="W124" s="24" t="s">
        <v>234</v>
      </c>
      <c r="X124" s="24">
        <v>9</v>
      </c>
      <c r="Y124" s="24" t="s">
        <v>234</v>
      </c>
      <c r="Z124" s="24">
        <v>0</v>
      </c>
      <c r="AA124" s="24"/>
      <c r="AB124" s="24">
        <v>0</v>
      </c>
      <c r="AC124" s="24"/>
      <c r="AD124" s="24">
        <v>11.7</v>
      </c>
      <c r="AE124" s="24" t="s">
        <v>235</v>
      </c>
      <c r="AF124" s="24">
        <v>13.5</v>
      </c>
      <c r="AG124" s="24" t="s">
        <v>235</v>
      </c>
      <c r="AH124" s="24">
        <v>108</v>
      </c>
      <c r="AI124" s="24" t="s">
        <v>236</v>
      </c>
      <c r="AJ124" s="24">
        <v>263.98</v>
      </c>
      <c r="AK124" s="24">
        <v>0</v>
      </c>
      <c r="AL124" s="24">
        <v>0</v>
      </c>
      <c r="AM124" s="24" t="s">
        <v>237</v>
      </c>
      <c r="AN124" s="24">
        <v>0</v>
      </c>
      <c r="AO124" s="24"/>
      <c r="AP124" s="24">
        <v>0</v>
      </c>
      <c r="AT124" t="s">
        <v>202</v>
      </c>
      <c r="AU124" s="8"/>
      <c r="AV124" s="8"/>
      <c r="AW124" s="8"/>
      <c r="AX124" s="8"/>
      <c r="AY124" s="8"/>
      <c r="AZ124" s="8"/>
      <c r="BA124" s="8"/>
      <c r="BB124" s="8">
        <v>6</v>
      </c>
      <c r="BC124" s="8"/>
      <c r="BD124" s="8"/>
      <c r="BE124" s="8"/>
    </row>
    <row r="125" spans="2:57" x14ac:dyDescent="0.3">
      <c r="B125" s="24" t="s">
        <v>272</v>
      </c>
      <c r="C125" s="24" t="s">
        <v>246</v>
      </c>
      <c r="D125" s="24">
        <v>100031</v>
      </c>
      <c r="E125" s="24" t="s">
        <v>224</v>
      </c>
      <c r="F125" s="24">
        <v>4500019879</v>
      </c>
      <c r="G125" s="24">
        <v>430</v>
      </c>
      <c r="H125" s="24"/>
      <c r="I125" s="24" t="s">
        <v>301</v>
      </c>
      <c r="J125" s="24" t="s">
        <v>226</v>
      </c>
      <c r="K125" s="24" t="s">
        <v>227</v>
      </c>
      <c r="L125" s="24" t="s">
        <v>274</v>
      </c>
      <c r="M125" s="24" t="s">
        <v>303</v>
      </c>
      <c r="N125" s="24" t="s">
        <v>230</v>
      </c>
      <c r="O125" s="24" t="s">
        <v>215</v>
      </c>
      <c r="P125" s="24" t="s">
        <v>462</v>
      </c>
      <c r="Q125" s="24" t="s">
        <v>463</v>
      </c>
      <c r="R125" s="24">
        <v>20170918</v>
      </c>
      <c r="S125" s="24" t="s">
        <v>371</v>
      </c>
      <c r="T125" s="24">
        <v>20171018</v>
      </c>
      <c r="U125" s="24">
        <v>0</v>
      </c>
      <c r="V125" s="24">
        <v>14</v>
      </c>
      <c r="W125" s="24" t="s">
        <v>234</v>
      </c>
      <c r="X125" s="24">
        <v>14</v>
      </c>
      <c r="Y125" s="24" t="s">
        <v>234</v>
      </c>
      <c r="Z125" s="24">
        <v>0</v>
      </c>
      <c r="AA125" s="24"/>
      <c r="AB125" s="24">
        <v>0</v>
      </c>
      <c r="AC125" s="24"/>
      <c r="AD125" s="24">
        <v>15.82</v>
      </c>
      <c r="AE125" s="24" t="s">
        <v>235</v>
      </c>
      <c r="AF125" s="24">
        <v>18.62</v>
      </c>
      <c r="AG125" s="24" t="s">
        <v>235</v>
      </c>
      <c r="AH125" s="24">
        <v>168</v>
      </c>
      <c r="AI125" s="24" t="s">
        <v>236</v>
      </c>
      <c r="AJ125" s="24">
        <v>426.28</v>
      </c>
      <c r="AK125" s="24">
        <v>0</v>
      </c>
      <c r="AL125" s="24">
        <v>0</v>
      </c>
      <c r="AM125" s="24" t="s">
        <v>237</v>
      </c>
      <c r="AN125" s="24">
        <v>0</v>
      </c>
      <c r="AO125" s="24"/>
      <c r="AP125" s="24">
        <v>0</v>
      </c>
      <c r="AT125" t="s">
        <v>203</v>
      </c>
      <c r="AU125" s="8"/>
      <c r="AV125" s="8"/>
      <c r="AW125" s="8"/>
      <c r="AX125" s="8"/>
      <c r="AY125" s="8"/>
      <c r="AZ125" s="8"/>
      <c r="BA125" s="8"/>
      <c r="BB125" s="8">
        <v>9</v>
      </c>
      <c r="BC125" s="8"/>
      <c r="BD125" s="8"/>
      <c r="BE125" s="8"/>
    </row>
    <row r="126" spans="2:57" x14ac:dyDescent="0.3">
      <c r="B126" s="24" t="s">
        <v>272</v>
      </c>
      <c r="C126" s="24" t="s">
        <v>246</v>
      </c>
      <c r="D126" s="24">
        <v>100031</v>
      </c>
      <c r="E126" s="24" t="s">
        <v>224</v>
      </c>
      <c r="F126" s="24">
        <v>4500019879</v>
      </c>
      <c r="G126" s="24">
        <v>440</v>
      </c>
      <c r="H126" s="24"/>
      <c r="I126" s="24" t="s">
        <v>301</v>
      </c>
      <c r="J126" s="24" t="s">
        <v>226</v>
      </c>
      <c r="K126" s="24" t="s">
        <v>227</v>
      </c>
      <c r="L126" s="24" t="s">
        <v>274</v>
      </c>
      <c r="M126" s="24" t="s">
        <v>303</v>
      </c>
      <c r="N126" s="24" t="s">
        <v>230</v>
      </c>
      <c r="O126" s="24" t="s">
        <v>216</v>
      </c>
      <c r="P126" s="24" t="s">
        <v>464</v>
      </c>
      <c r="Q126" s="24" t="s">
        <v>465</v>
      </c>
      <c r="R126" s="24">
        <v>20170918</v>
      </c>
      <c r="S126" s="24" t="s">
        <v>371</v>
      </c>
      <c r="T126" s="24">
        <v>20171018</v>
      </c>
      <c r="U126" s="24">
        <v>0</v>
      </c>
      <c r="V126" s="24">
        <v>23</v>
      </c>
      <c r="W126" s="24" t="s">
        <v>234</v>
      </c>
      <c r="X126" s="24">
        <v>23</v>
      </c>
      <c r="Y126" s="24" t="s">
        <v>234</v>
      </c>
      <c r="Z126" s="24">
        <v>0</v>
      </c>
      <c r="AA126" s="24"/>
      <c r="AB126" s="24">
        <v>0</v>
      </c>
      <c r="AC126" s="24"/>
      <c r="AD126" s="24">
        <v>28.98</v>
      </c>
      <c r="AE126" s="24" t="s">
        <v>235</v>
      </c>
      <c r="AF126" s="24">
        <v>33.58</v>
      </c>
      <c r="AG126" s="24" t="s">
        <v>235</v>
      </c>
      <c r="AH126" s="24">
        <v>276</v>
      </c>
      <c r="AI126" s="24" t="s">
        <v>236</v>
      </c>
      <c r="AJ126" s="24">
        <v>674.62</v>
      </c>
      <c r="AK126" s="24">
        <v>0</v>
      </c>
      <c r="AL126" s="24">
        <v>0</v>
      </c>
      <c r="AM126" s="24" t="s">
        <v>237</v>
      </c>
      <c r="AN126" s="24">
        <v>0</v>
      </c>
      <c r="AO126" s="24"/>
      <c r="AP126" s="24">
        <v>0</v>
      </c>
      <c r="AT126" t="s">
        <v>204</v>
      </c>
      <c r="AU126" s="8"/>
      <c r="AV126" s="8"/>
      <c r="AW126" s="8"/>
      <c r="AX126" s="8"/>
      <c r="AY126" s="8"/>
      <c r="AZ126" s="8"/>
      <c r="BA126" s="8"/>
      <c r="BB126" s="8">
        <v>8</v>
      </c>
      <c r="BC126" s="8"/>
      <c r="BD126" s="8"/>
      <c r="BE126" s="8"/>
    </row>
    <row r="127" spans="2:57" x14ac:dyDescent="0.3">
      <c r="B127" s="24" t="s">
        <v>272</v>
      </c>
      <c r="C127" s="24" t="s">
        <v>246</v>
      </c>
      <c r="D127" s="24">
        <v>100031</v>
      </c>
      <c r="E127" s="24" t="s">
        <v>224</v>
      </c>
      <c r="F127" s="24">
        <v>4500019879</v>
      </c>
      <c r="G127" s="24">
        <v>450</v>
      </c>
      <c r="H127" s="24"/>
      <c r="I127" s="24" t="s">
        <v>301</v>
      </c>
      <c r="J127" s="24" t="s">
        <v>226</v>
      </c>
      <c r="K127" s="24" t="s">
        <v>227</v>
      </c>
      <c r="L127" s="24" t="s">
        <v>274</v>
      </c>
      <c r="M127" s="24" t="s">
        <v>303</v>
      </c>
      <c r="N127" s="24" t="s">
        <v>230</v>
      </c>
      <c r="O127" s="24" t="s">
        <v>217</v>
      </c>
      <c r="P127" s="24" t="s">
        <v>466</v>
      </c>
      <c r="Q127" s="24" t="s">
        <v>467</v>
      </c>
      <c r="R127" s="24">
        <v>20170918</v>
      </c>
      <c r="S127" s="24" t="s">
        <v>371</v>
      </c>
      <c r="T127" s="24">
        <v>20171018</v>
      </c>
      <c r="U127" s="24">
        <v>0</v>
      </c>
      <c r="V127" s="24">
        <v>17</v>
      </c>
      <c r="W127" s="24" t="s">
        <v>234</v>
      </c>
      <c r="X127" s="24">
        <v>17</v>
      </c>
      <c r="Y127" s="24" t="s">
        <v>234</v>
      </c>
      <c r="Z127" s="24">
        <v>0</v>
      </c>
      <c r="AA127" s="24"/>
      <c r="AB127" s="24">
        <v>0</v>
      </c>
      <c r="AC127" s="24"/>
      <c r="AD127" s="24">
        <v>21.42</v>
      </c>
      <c r="AE127" s="24" t="s">
        <v>235</v>
      </c>
      <c r="AF127" s="24">
        <v>24.82</v>
      </c>
      <c r="AG127" s="24" t="s">
        <v>235</v>
      </c>
      <c r="AH127" s="24">
        <v>204</v>
      </c>
      <c r="AI127" s="24" t="s">
        <v>236</v>
      </c>
      <c r="AJ127" s="24">
        <v>498.63</v>
      </c>
      <c r="AK127" s="24">
        <v>0</v>
      </c>
      <c r="AL127" s="24">
        <v>0</v>
      </c>
      <c r="AM127" s="24" t="s">
        <v>237</v>
      </c>
      <c r="AN127" s="24">
        <v>0</v>
      </c>
      <c r="AO127" s="24"/>
      <c r="AP127" s="24">
        <v>0</v>
      </c>
      <c r="AT127" t="s">
        <v>205</v>
      </c>
      <c r="AU127" s="8"/>
      <c r="AV127" s="8"/>
      <c r="AW127" s="8"/>
      <c r="AX127" s="8"/>
      <c r="AY127" s="8"/>
      <c r="AZ127" s="8"/>
      <c r="BA127" s="8"/>
      <c r="BB127" s="8">
        <v>3</v>
      </c>
      <c r="BC127" s="8"/>
      <c r="BD127" s="8"/>
      <c r="BE127" s="8"/>
    </row>
    <row r="128" spans="2:57" x14ac:dyDescent="0.3">
      <c r="B128" s="24" t="s">
        <v>272</v>
      </c>
      <c r="C128" s="24" t="s">
        <v>246</v>
      </c>
      <c r="D128" s="24">
        <v>100031</v>
      </c>
      <c r="E128" s="24" t="s">
        <v>224</v>
      </c>
      <c r="F128" s="24">
        <v>4500019879</v>
      </c>
      <c r="G128" s="24">
        <v>460</v>
      </c>
      <c r="H128" s="24"/>
      <c r="I128" s="24" t="s">
        <v>301</v>
      </c>
      <c r="J128" s="24" t="s">
        <v>226</v>
      </c>
      <c r="K128" s="24" t="s">
        <v>227</v>
      </c>
      <c r="L128" s="24" t="s">
        <v>274</v>
      </c>
      <c r="M128" s="24" t="s">
        <v>303</v>
      </c>
      <c r="N128" s="24" t="s">
        <v>230</v>
      </c>
      <c r="O128" s="24" t="s">
        <v>218</v>
      </c>
      <c r="P128" s="24" t="s">
        <v>468</v>
      </c>
      <c r="Q128" s="24" t="s">
        <v>469</v>
      </c>
      <c r="R128" s="24">
        <v>20170918</v>
      </c>
      <c r="S128" s="24" t="s">
        <v>371</v>
      </c>
      <c r="T128" s="24">
        <v>20171018</v>
      </c>
      <c r="U128" s="24">
        <v>0</v>
      </c>
      <c r="V128" s="24">
        <v>10</v>
      </c>
      <c r="W128" s="24" t="s">
        <v>234</v>
      </c>
      <c r="X128" s="24">
        <v>10</v>
      </c>
      <c r="Y128" s="24" t="s">
        <v>234</v>
      </c>
      <c r="Z128" s="24">
        <v>0</v>
      </c>
      <c r="AA128" s="24"/>
      <c r="AB128" s="24">
        <v>0</v>
      </c>
      <c r="AC128" s="24"/>
      <c r="AD128" s="24">
        <v>11.4</v>
      </c>
      <c r="AE128" s="24" t="s">
        <v>235</v>
      </c>
      <c r="AF128" s="24">
        <v>13.4</v>
      </c>
      <c r="AG128" s="24" t="s">
        <v>235</v>
      </c>
      <c r="AH128" s="24">
        <v>120</v>
      </c>
      <c r="AI128" s="24" t="s">
        <v>236</v>
      </c>
      <c r="AJ128" s="24">
        <v>293.31</v>
      </c>
      <c r="AK128" s="24">
        <v>0</v>
      </c>
      <c r="AL128" s="24">
        <v>0</v>
      </c>
      <c r="AM128" s="24" t="s">
        <v>237</v>
      </c>
      <c r="AN128" s="24">
        <v>0</v>
      </c>
      <c r="AO128" s="24"/>
      <c r="AP128" s="24">
        <v>0</v>
      </c>
      <c r="AT128" t="s">
        <v>206</v>
      </c>
      <c r="AU128" s="8"/>
      <c r="AV128" s="8"/>
      <c r="AW128" s="8"/>
      <c r="AX128" s="8"/>
      <c r="AY128" s="8"/>
      <c r="AZ128" s="8"/>
      <c r="BA128" s="8"/>
      <c r="BB128" s="8">
        <v>60</v>
      </c>
      <c r="BC128" s="8"/>
      <c r="BD128" s="8"/>
      <c r="BE128" s="8"/>
    </row>
    <row r="129" spans="2:57" x14ac:dyDescent="0.3">
      <c r="B129" s="24" t="s">
        <v>272</v>
      </c>
      <c r="C129" s="24" t="s">
        <v>246</v>
      </c>
      <c r="D129" s="24">
        <v>100031</v>
      </c>
      <c r="E129" s="24" t="s">
        <v>224</v>
      </c>
      <c r="F129" s="24">
        <v>4500019879</v>
      </c>
      <c r="G129" s="24">
        <v>470</v>
      </c>
      <c r="H129" s="24"/>
      <c r="I129" s="24" t="s">
        <v>301</v>
      </c>
      <c r="J129" s="24" t="s">
        <v>226</v>
      </c>
      <c r="K129" s="24" t="s">
        <v>227</v>
      </c>
      <c r="L129" s="24" t="s">
        <v>470</v>
      </c>
      <c r="M129" s="24" t="s">
        <v>312</v>
      </c>
      <c r="N129" s="24" t="s">
        <v>230</v>
      </c>
      <c r="O129" s="24" t="s">
        <v>219</v>
      </c>
      <c r="P129" s="24" t="s">
        <v>471</v>
      </c>
      <c r="Q129" s="24" t="s">
        <v>472</v>
      </c>
      <c r="R129" s="24">
        <v>20170918</v>
      </c>
      <c r="S129" s="24" t="s">
        <v>371</v>
      </c>
      <c r="T129" s="24">
        <v>20171018</v>
      </c>
      <c r="U129" s="24">
        <v>0</v>
      </c>
      <c r="V129" s="24">
        <v>10</v>
      </c>
      <c r="W129" s="24" t="s">
        <v>234</v>
      </c>
      <c r="X129" s="24">
        <v>10</v>
      </c>
      <c r="Y129" s="24" t="s">
        <v>234</v>
      </c>
      <c r="Z129" s="24">
        <v>0</v>
      </c>
      <c r="AA129" s="24"/>
      <c r="AB129" s="24">
        <v>0</v>
      </c>
      <c r="AC129" s="24"/>
      <c r="AD129" s="24">
        <v>30</v>
      </c>
      <c r="AE129" s="24" t="s">
        <v>235</v>
      </c>
      <c r="AF129" s="24">
        <v>31</v>
      </c>
      <c r="AG129" s="24" t="s">
        <v>235</v>
      </c>
      <c r="AH129" s="24">
        <v>2.69</v>
      </c>
      <c r="AI129" s="24" t="s">
        <v>236</v>
      </c>
      <c r="AJ129" s="24">
        <v>390.5</v>
      </c>
      <c r="AK129" s="24">
        <v>0</v>
      </c>
      <c r="AL129" s="24">
        <v>0</v>
      </c>
      <c r="AM129" s="24" t="s">
        <v>237</v>
      </c>
      <c r="AN129" s="24">
        <v>0</v>
      </c>
      <c r="AO129" s="24"/>
      <c r="AP129" s="24">
        <v>0</v>
      </c>
      <c r="AT129" t="s">
        <v>207</v>
      </c>
      <c r="AU129" s="8"/>
      <c r="AV129" s="8"/>
      <c r="AW129" s="8"/>
      <c r="AX129" s="8"/>
      <c r="AY129" s="8"/>
      <c r="AZ129" s="8"/>
      <c r="BA129" s="8"/>
      <c r="BB129" s="8">
        <v>60</v>
      </c>
      <c r="BC129" s="8"/>
      <c r="BD129" s="8"/>
      <c r="BE129" s="8"/>
    </row>
    <row r="130" spans="2:57" x14ac:dyDescent="0.3">
      <c r="B130" s="24" t="s">
        <v>272</v>
      </c>
      <c r="C130" s="24" t="s">
        <v>246</v>
      </c>
      <c r="D130" s="24">
        <v>100031</v>
      </c>
      <c r="E130" s="24" t="s">
        <v>224</v>
      </c>
      <c r="F130" s="24">
        <v>4500019906</v>
      </c>
      <c r="G130" s="24">
        <v>10</v>
      </c>
      <c r="H130" s="24"/>
      <c r="I130" s="24" t="s">
        <v>273</v>
      </c>
      <c r="J130" s="24" t="s">
        <v>226</v>
      </c>
      <c r="K130" s="24" t="s">
        <v>227</v>
      </c>
      <c r="L130" s="24" t="s">
        <v>302</v>
      </c>
      <c r="M130" s="24" t="s">
        <v>307</v>
      </c>
      <c r="N130" s="24" t="s">
        <v>230</v>
      </c>
      <c r="O130" s="24" t="s">
        <v>220</v>
      </c>
      <c r="P130" s="24" t="s">
        <v>473</v>
      </c>
      <c r="Q130" s="24" t="s">
        <v>474</v>
      </c>
      <c r="R130" s="24">
        <v>20170921</v>
      </c>
      <c r="S130" s="24" t="s">
        <v>475</v>
      </c>
      <c r="T130" s="24">
        <v>20171008</v>
      </c>
      <c r="U130" s="24">
        <v>0</v>
      </c>
      <c r="V130" s="24">
        <v>102</v>
      </c>
      <c r="W130" s="24" t="s">
        <v>234</v>
      </c>
      <c r="X130" s="24">
        <v>102</v>
      </c>
      <c r="Y130" s="24" t="s">
        <v>234</v>
      </c>
      <c r="Z130" s="24">
        <v>0</v>
      </c>
      <c r="AA130" s="24"/>
      <c r="AB130" s="24">
        <v>0</v>
      </c>
      <c r="AC130" s="24"/>
      <c r="AD130" s="24">
        <v>102</v>
      </c>
      <c r="AE130" s="24" t="s">
        <v>235</v>
      </c>
      <c r="AF130" s="24">
        <v>112.2</v>
      </c>
      <c r="AG130" s="24" t="s">
        <v>235</v>
      </c>
      <c r="AH130" s="24">
        <v>246.84</v>
      </c>
      <c r="AI130" s="24" t="s">
        <v>236</v>
      </c>
      <c r="AJ130" s="24">
        <v>2266.6999999999998</v>
      </c>
      <c r="AK130" s="24">
        <v>0</v>
      </c>
      <c r="AL130" s="24">
        <v>0</v>
      </c>
      <c r="AM130" s="24" t="s">
        <v>237</v>
      </c>
      <c r="AN130" s="24">
        <v>0</v>
      </c>
      <c r="AO130" s="24"/>
      <c r="AP130" s="24">
        <v>0</v>
      </c>
      <c r="AT130" t="s">
        <v>208</v>
      </c>
      <c r="AU130" s="8"/>
      <c r="AV130" s="8"/>
      <c r="AW130" s="8"/>
      <c r="AX130" s="8"/>
      <c r="AY130" s="8"/>
      <c r="AZ130" s="8"/>
      <c r="BA130" s="8"/>
      <c r="BB130" s="8">
        <v>24</v>
      </c>
      <c r="BC130" s="8"/>
      <c r="BD130" s="8"/>
      <c r="BE130" s="8"/>
    </row>
    <row r="131" spans="2:57" x14ac:dyDescent="0.3">
      <c r="AT131" t="s">
        <v>209</v>
      </c>
      <c r="AU131" s="8"/>
      <c r="AV131" s="8"/>
      <c r="AW131" s="8"/>
      <c r="AX131" s="8"/>
      <c r="AY131" s="8"/>
      <c r="AZ131" s="8"/>
      <c r="BA131" s="8"/>
      <c r="BB131" s="8">
        <v>150</v>
      </c>
      <c r="BC131" s="8"/>
      <c r="BD131" s="8"/>
      <c r="BE131" s="8"/>
    </row>
    <row r="132" spans="2:57" x14ac:dyDescent="0.3">
      <c r="AT132" t="s">
        <v>210</v>
      </c>
      <c r="AU132" s="8"/>
      <c r="AV132" s="8"/>
      <c r="AW132" s="8"/>
      <c r="AX132" s="8"/>
      <c r="AY132" s="8"/>
      <c r="AZ132" s="8"/>
      <c r="BA132" s="8"/>
      <c r="BB132" s="8">
        <v>300</v>
      </c>
      <c r="BC132" s="8"/>
      <c r="BD132" s="8"/>
      <c r="BE132" s="8"/>
    </row>
    <row r="133" spans="2:57" x14ac:dyDescent="0.3">
      <c r="AT133" t="s">
        <v>211</v>
      </c>
      <c r="AU133" s="8"/>
      <c r="AV133" s="8"/>
      <c r="AW133" s="8"/>
      <c r="AX133" s="8"/>
      <c r="AY133" s="8"/>
      <c r="AZ133" s="8"/>
      <c r="BA133" s="8"/>
      <c r="BB133" s="8">
        <v>550</v>
      </c>
      <c r="BC133" s="8"/>
      <c r="BD133" s="8"/>
      <c r="BE133" s="8"/>
    </row>
    <row r="134" spans="2:57" x14ac:dyDescent="0.3">
      <c r="AT134" t="s">
        <v>212</v>
      </c>
      <c r="AU134" s="8"/>
      <c r="AV134" s="8"/>
      <c r="AW134" s="8"/>
      <c r="AX134" s="8"/>
      <c r="AY134" s="8"/>
      <c r="AZ134" s="8"/>
      <c r="BA134" s="8"/>
      <c r="BB134" s="8">
        <v>20</v>
      </c>
      <c r="BC134" s="8"/>
      <c r="BD134" s="8"/>
      <c r="BE134" s="8"/>
    </row>
    <row r="135" spans="2:57" x14ac:dyDescent="0.3">
      <c r="AT135" t="s">
        <v>213</v>
      </c>
      <c r="AU135" s="8"/>
      <c r="AV135" s="8"/>
      <c r="AW135" s="8"/>
      <c r="AX135" s="8"/>
      <c r="AY135" s="8"/>
      <c r="AZ135" s="8"/>
      <c r="BA135" s="8"/>
      <c r="BB135" s="8">
        <v>16</v>
      </c>
      <c r="BC135" s="8"/>
      <c r="BD135" s="8"/>
      <c r="BE135" s="8"/>
    </row>
    <row r="136" spans="2:57" x14ac:dyDescent="0.3">
      <c r="AT136" t="s">
        <v>214</v>
      </c>
      <c r="AU136" s="8"/>
      <c r="AV136" s="8"/>
      <c r="AW136" s="8"/>
      <c r="AX136" s="8"/>
      <c r="AY136" s="8"/>
      <c r="AZ136" s="8"/>
      <c r="BA136" s="8"/>
      <c r="BB136" s="8">
        <v>9</v>
      </c>
      <c r="BC136" s="8"/>
      <c r="BD136" s="8"/>
      <c r="BE136" s="8"/>
    </row>
    <row r="137" spans="2:57" x14ac:dyDescent="0.3">
      <c r="AT137" t="s">
        <v>215</v>
      </c>
      <c r="AU137" s="8"/>
      <c r="AV137" s="8"/>
      <c r="AW137" s="8"/>
      <c r="AX137" s="8"/>
      <c r="AY137" s="8"/>
      <c r="AZ137" s="8"/>
      <c r="BA137" s="8"/>
      <c r="BB137" s="8">
        <v>14</v>
      </c>
      <c r="BC137" s="8"/>
      <c r="BD137" s="8"/>
      <c r="BE137" s="8"/>
    </row>
    <row r="138" spans="2:57" x14ac:dyDescent="0.3">
      <c r="AT138" t="s">
        <v>216</v>
      </c>
      <c r="AU138" s="8"/>
      <c r="AV138" s="8"/>
      <c r="AW138" s="8"/>
      <c r="AX138" s="8"/>
      <c r="AY138" s="8"/>
      <c r="AZ138" s="8"/>
      <c r="BA138" s="8"/>
      <c r="BB138" s="8">
        <v>23</v>
      </c>
      <c r="BC138" s="8"/>
      <c r="BD138" s="8"/>
      <c r="BE138" s="8"/>
    </row>
    <row r="139" spans="2:57" x14ac:dyDescent="0.3">
      <c r="AT139" t="s">
        <v>217</v>
      </c>
      <c r="AU139" s="8"/>
      <c r="AV139" s="8"/>
      <c r="AW139" s="8"/>
      <c r="AX139" s="8"/>
      <c r="AY139" s="8"/>
      <c r="AZ139" s="8"/>
      <c r="BA139" s="8"/>
      <c r="BB139" s="8">
        <v>17</v>
      </c>
      <c r="BC139" s="8"/>
      <c r="BD139" s="8"/>
      <c r="BE139" s="8"/>
    </row>
    <row r="140" spans="2:57" x14ac:dyDescent="0.3">
      <c r="AT140" t="s">
        <v>218</v>
      </c>
      <c r="AU140" s="8"/>
      <c r="AV140" s="8"/>
      <c r="AW140" s="8"/>
      <c r="AX140" s="8"/>
      <c r="AY140" s="8"/>
      <c r="AZ140" s="8"/>
      <c r="BA140" s="8"/>
      <c r="BB140" s="8">
        <v>10</v>
      </c>
      <c r="BC140" s="8"/>
      <c r="BD140" s="8"/>
      <c r="BE140" s="8"/>
    </row>
    <row r="141" spans="2:57" x14ac:dyDescent="0.3">
      <c r="AT141" t="s">
        <v>219</v>
      </c>
      <c r="AU141" s="8"/>
      <c r="AV141" s="8"/>
      <c r="AW141" s="8"/>
      <c r="AX141" s="8"/>
      <c r="AY141" s="8"/>
      <c r="AZ141" s="8"/>
      <c r="BA141" s="8"/>
      <c r="BB141" s="8">
        <v>10</v>
      </c>
      <c r="BC141" s="8"/>
      <c r="BD141" s="8"/>
      <c r="BE141" s="8"/>
    </row>
    <row r="142" spans="2:57" x14ac:dyDescent="0.3">
      <c r="AS142">
        <v>4500019906</v>
      </c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</row>
    <row r="143" spans="2:57" x14ac:dyDescent="0.3">
      <c r="AT143" t="s">
        <v>220</v>
      </c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>
        <v>102</v>
      </c>
    </row>
  </sheetData>
  <autoFilter ref="B1:AQ184"/>
  <phoneticPr fontId="2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OpenPOUpdate">
                <anchor moveWithCells="1" sizeWithCells="1">
                  <from>
                    <xdr:col>0</xdr:col>
                    <xdr:colOff>23813</xdr:colOff>
                    <xdr:row>0</xdr:row>
                    <xdr:rowOff>28575</xdr:rowOff>
                  </from>
                  <to>
                    <xdr:col>1</xdr:col>
                    <xdr:colOff>9525</xdr:colOff>
                    <xdr:row>0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OpenPOClean">
                <anchor moveWithCells="1" sizeWithCells="1">
                  <from>
                    <xdr:col>0</xdr:col>
                    <xdr:colOff>14288</xdr:colOff>
                    <xdr:row>1</xdr:row>
                    <xdr:rowOff>33338</xdr:rowOff>
                  </from>
                  <to>
                    <xdr:col>1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3"/>
  <sheetViews>
    <sheetView workbookViewId="0"/>
  </sheetViews>
  <sheetFormatPr defaultRowHeight="13.5" x14ac:dyDescent="0.3"/>
  <cols>
    <col min="14" max="14" width="15.3984375" bestFit="1" customWidth="1"/>
    <col min="15" max="15" width="11.1328125" bestFit="1" customWidth="1"/>
    <col min="21" max="21" width="14.06640625" bestFit="1" customWidth="1"/>
    <col min="22" max="22" width="14.1328125" customWidth="1"/>
    <col min="23" max="23" width="13" customWidth="1"/>
  </cols>
  <sheetData>
    <row r="1" spans="1:23" ht="27" x14ac:dyDescent="0.3">
      <c r="B1" s="6" t="s">
        <v>2</v>
      </c>
      <c r="C1" s="6" t="s">
        <v>3</v>
      </c>
      <c r="D1" s="6" t="s">
        <v>4</v>
      </c>
      <c r="E1" s="7" t="s">
        <v>5</v>
      </c>
      <c r="F1" s="6" t="s">
        <v>6</v>
      </c>
      <c r="G1" s="7" t="s">
        <v>7</v>
      </c>
      <c r="H1" s="6" t="s">
        <v>8</v>
      </c>
      <c r="I1" s="7" t="s">
        <v>9</v>
      </c>
      <c r="J1" s="7" t="s">
        <v>10</v>
      </c>
      <c r="K1" s="6" t="s">
        <v>11</v>
      </c>
      <c r="L1" s="6" t="s">
        <v>12</v>
      </c>
      <c r="M1" s="7" t="s">
        <v>13</v>
      </c>
      <c r="N1" s="6" t="s">
        <v>14</v>
      </c>
      <c r="O1" s="6" t="s">
        <v>15</v>
      </c>
      <c r="P1" t="s">
        <v>16</v>
      </c>
      <c r="Q1" s="8" t="s">
        <v>17</v>
      </c>
      <c r="R1" t="s">
        <v>18</v>
      </c>
      <c r="S1" t="s">
        <v>19</v>
      </c>
      <c r="T1" t="s">
        <v>20</v>
      </c>
      <c r="U1" s="13" t="s">
        <v>21</v>
      </c>
      <c r="V1" t="s">
        <v>24</v>
      </c>
      <c r="W1" t="s">
        <v>123</v>
      </c>
    </row>
    <row r="2" spans="1:23" x14ac:dyDescent="0.3">
      <c r="B2" s="9"/>
      <c r="C2" s="9"/>
      <c r="D2" s="9"/>
      <c r="E2" s="9"/>
      <c r="F2" s="10"/>
      <c r="G2" s="10"/>
      <c r="H2" s="10"/>
      <c r="I2" s="10"/>
      <c r="J2" s="10"/>
      <c r="K2" s="9"/>
      <c r="L2" s="10"/>
      <c r="M2" s="9"/>
      <c r="N2" s="11"/>
      <c r="O2" s="11"/>
      <c r="P2">
        <f>O2-N2</f>
        <v>0</v>
      </c>
      <c r="Q2" s="8">
        <f ca="1">O2-TODAY()</f>
        <v>-43003</v>
      </c>
      <c r="R2" t="e">
        <f ca="1">Q2/P2</f>
        <v>#DIV/0!</v>
      </c>
      <c r="S2" t="e">
        <f ca="1">IF(R2&gt;$A$9,F2,0)</f>
        <v>#DIV/0!</v>
      </c>
      <c r="T2" t="e">
        <f ca="1">IF(R2&lt;$A$9,F2,0)</f>
        <v>#DIV/0!</v>
      </c>
      <c r="U2" s="14" t="s">
        <v>22</v>
      </c>
      <c r="V2" s="8" t="e">
        <v>#DIV/0!</v>
      </c>
      <c r="W2" s="8" t="e">
        <v>#DIV/0!</v>
      </c>
    </row>
    <row r="3" spans="1:23" x14ac:dyDescent="0.3">
      <c r="B3" s="9"/>
      <c r="C3" s="9"/>
      <c r="D3" s="9"/>
      <c r="E3" s="9"/>
      <c r="F3" s="10"/>
      <c r="G3" s="10"/>
      <c r="H3" s="10"/>
      <c r="I3" s="10"/>
      <c r="J3" s="10"/>
      <c r="K3" s="9"/>
      <c r="L3" s="10"/>
      <c r="M3" s="9"/>
      <c r="N3" s="11"/>
      <c r="O3" s="11"/>
      <c r="Q3" s="8"/>
      <c r="U3" s="14" t="s">
        <v>23</v>
      </c>
      <c r="V3" s="8" t="e">
        <v>#DIV/0!</v>
      </c>
      <c r="W3" s="8" t="e">
        <v>#DIV/0!</v>
      </c>
    </row>
    <row r="4" spans="1:23" x14ac:dyDescent="0.3">
      <c r="B4" s="9"/>
      <c r="C4" s="9"/>
      <c r="D4" s="9"/>
      <c r="E4" s="9"/>
      <c r="F4" s="10"/>
      <c r="G4" s="10"/>
      <c r="H4" s="10"/>
      <c r="I4" s="10"/>
      <c r="J4" s="10"/>
      <c r="K4" s="9"/>
      <c r="L4" s="10"/>
      <c r="M4" s="9"/>
      <c r="N4" s="11"/>
      <c r="O4" s="11"/>
      <c r="Q4" s="8"/>
    </row>
    <row r="5" spans="1:23" x14ac:dyDescent="0.3">
      <c r="B5" s="9"/>
      <c r="C5" s="9"/>
      <c r="D5" s="9"/>
      <c r="E5" s="9"/>
      <c r="F5" s="10"/>
      <c r="G5" s="10"/>
      <c r="H5" s="10"/>
      <c r="I5" s="10"/>
      <c r="J5" s="10"/>
      <c r="K5" s="9"/>
      <c r="L5" s="10"/>
      <c r="M5" s="9"/>
      <c r="N5" s="11"/>
      <c r="O5" s="11"/>
      <c r="Q5" s="8"/>
    </row>
    <row r="6" spans="1:23" x14ac:dyDescent="0.3">
      <c r="B6" s="9"/>
      <c r="C6" s="9"/>
      <c r="D6" s="9"/>
      <c r="E6" s="9"/>
      <c r="F6" s="10"/>
      <c r="G6" s="10"/>
      <c r="H6" s="10"/>
      <c r="I6" s="10"/>
      <c r="J6" s="10"/>
      <c r="K6" s="9"/>
      <c r="L6" s="10"/>
      <c r="M6" s="9"/>
      <c r="N6" s="11"/>
      <c r="O6" s="11"/>
      <c r="Q6" s="8"/>
    </row>
    <row r="7" spans="1:23" x14ac:dyDescent="0.3">
      <c r="B7" s="9"/>
      <c r="C7" s="9"/>
      <c r="D7" s="9"/>
      <c r="E7" s="9"/>
      <c r="F7" s="10"/>
      <c r="G7" s="10"/>
      <c r="H7" s="10"/>
      <c r="I7" s="10"/>
      <c r="J7" s="10"/>
      <c r="K7" s="9"/>
      <c r="L7" s="10"/>
      <c r="M7" s="9"/>
      <c r="N7" s="11"/>
      <c r="O7" s="11"/>
      <c r="Q7" s="8"/>
    </row>
    <row r="8" spans="1:23" ht="42.75" x14ac:dyDescent="0.3">
      <c r="A8" s="1" t="s">
        <v>0</v>
      </c>
      <c r="B8" s="9"/>
      <c r="C8" s="9"/>
      <c r="D8" s="9"/>
      <c r="E8" s="9"/>
      <c r="F8" s="10"/>
      <c r="G8" s="10"/>
      <c r="H8" s="10"/>
      <c r="I8" s="10"/>
      <c r="J8" s="10"/>
      <c r="K8" s="9"/>
      <c r="L8" s="10"/>
      <c r="M8" s="9"/>
      <c r="N8" s="11"/>
      <c r="O8" s="11"/>
      <c r="Q8" s="8"/>
    </row>
    <row r="9" spans="1:23" ht="14.25" x14ac:dyDescent="0.3">
      <c r="A9" s="2">
        <v>0.4</v>
      </c>
      <c r="B9" s="9"/>
      <c r="C9" s="9"/>
      <c r="D9" s="9"/>
      <c r="E9" s="9"/>
      <c r="F9" s="10"/>
      <c r="G9" s="10"/>
      <c r="H9" s="10"/>
      <c r="I9" s="10"/>
      <c r="J9" s="10"/>
      <c r="K9" s="9"/>
      <c r="L9" s="10"/>
      <c r="M9" s="9"/>
      <c r="N9" s="11"/>
      <c r="O9" s="11"/>
      <c r="Q9" s="8"/>
    </row>
    <row r="10" spans="1:23" ht="14.25" x14ac:dyDescent="0.3">
      <c r="A10" s="3"/>
      <c r="B10" s="9"/>
      <c r="C10" s="9"/>
      <c r="D10" s="9"/>
      <c r="E10" s="9"/>
      <c r="F10" s="10"/>
      <c r="G10" s="10"/>
      <c r="H10" s="10"/>
      <c r="I10" s="10"/>
      <c r="J10" s="10"/>
      <c r="K10" s="9"/>
      <c r="L10" s="10"/>
      <c r="M10" s="9"/>
      <c r="N10" s="11"/>
      <c r="O10" s="11"/>
      <c r="Q10" s="8"/>
    </row>
    <row r="11" spans="1:23" ht="46.5" x14ac:dyDescent="0.3">
      <c r="A11" s="4" t="s">
        <v>1</v>
      </c>
      <c r="B11" s="9"/>
      <c r="C11" s="9"/>
      <c r="D11" s="9"/>
      <c r="E11" s="9"/>
      <c r="F11" s="10"/>
      <c r="G11" s="10"/>
      <c r="H11" s="10"/>
      <c r="I11" s="10"/>
      <c r="J11" s="10"/>
      <c r="K11" s="9"/>
      <c r="L11" s="10"/>
      <c r="M11" s="9"/>
      <c r="N11" s="11"/>
      <c r="O11" s="11"/>
      <c r="Q11" s="8"/>
    </row>
    <row r="12" spans="1:23" x14ac:dyDescent="0.3">
      <c r="A12" s="5">
        <v>10</v>
      </c>
      <c r="B12" s="9"/>
      <c r="C12" s="9"/>
      <c r="D12" s="9"/>
      <c r="E12" s="9"/>
      <c r="F12" s="10"/>
      <c r="G12" s="10"/>
      <c r="H12" s="10"/>
      <c r="I12" s="10"/>
      <c r="J12" s="10"/>
      <c r="K12" s="9"/>
      <c r="L12" s="10"/>
      <c r="M12" s="9"/>
      <c r="N12" s="11"/>
      <c r="O12" s="11"/>
      <c r="Q12" s="8"/>
    </row>
    <row r="13" spans="1:23" x14ac:dyDescent="0.3">
      <c r="A13" s="5">
        <v>10</v>
      </c>
      <c r="B13" s="9"/>
      <c r="C13" s="9"/>
      <c r="D13" s="9"/>
      <c r="E13" s="9"/>
      <c r="F13" s="10"/>
      <c r="G13" s="10"/>
      <c r="H13" s="10"/>
      <c r="I13" s="10"/>
      <c r="J13" s="10"/>
      <c r="K13" s="9"/>
      <c r="L13" s="10"/>
      <c r="M13" s="9"/>
      <c r="N13" s="11"/>
      <c r="O13" s="11"/>
      <c r="Q13" s="8"/>
    </row>
  </sheetData>
  <autoFilter ref="B1:T807"/>
  <phoneticPr fontId="2" type="noConversion"/>
  <pageMargins left="0.7" right="0.7" top="0.75" bottom="0.75" header="0.3" footer="0.3"/>
  <pageSetup paperSize="9" orientation="portrait" horizontalDpi="4294967295" verticalDpi="4294967295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tockUpdate">
                <anchor moveWithCells="1" sizeWithCells="1">
                  <from>
                    <xdr:col>0</xdr:col>
                    <xdr:colOff>52388</xdr:colOff>
                    <xdr:row>0</xdr:row>
                    <xdr:rowOff>23813</xdr:rowOff>
                  </from>
                  <to>
                    <xdr:col>0</xdr:col>
                    <xdr:colOff>595313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tockClean">
                <anchor moveWithCells="1" sizeWithCells="1">
                  <from>
                    <xdr:col>0</xdr:col>
                    <xdr:colOff>4763</xdr:colOff>
                    <xdr:row>1</xdr:row>
                    <xdr:rowOff>0</xdr:rowOff>
                  </from>
                  <to>
                    <xdr:col>0</xdr:col>
                    <xdr:colOff>619125</xdr:colOff>
                    <xdr:row>1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8"/>
  <sheetViews>
    <sheetView workbookViewId="0"/>
  </sheetViews>
  <sheetFormatPr defaultRowHeight="13.5" x14ac:dyDescent="0.3"/>
  <cols>
    <col min="4" max="4" width="11.1328125" bestFit="1" customWidth="1"/>
    <col min="6" max="6" width="15.796875" customWidth="1"/>
    <col min="17" max="19" width="10.06640625" bestFit="1" customWidth="1"/>
    <col min="29" max="31" width="10.06640625" bestFit="1" customWidth="1"/>
    <col min="42" max="44" width="10.06640625" bestFit="1" customWidth="1"/>
    <col min="54" max="56" width="10.06640625" bestFit="1" customWidth="1"/>
  </cols>
  <sheetData>
    <row r="1" spans="1:56" x14ac:dyDescent="0.3">
      <c r="B1" s="6"/>
      <c r="C1" s="6"/>
      <c r="D1" s="6"/>
      <c r="F1" s="15" t="s">
        <v>25</v>
      </c>
      <c r="H1" s="15">
        <v>42736</v>
      </c>
      <c r="I1" s="15">
        <v>42767</v>
      </c>
      <c r="J1" s="15">
        <v>42795</v>
      </c>
      <c r="K1" s="15">
        <v>42826</v>
      </c>
      <c r="L1" s="15">
        <v>42856</v>
      </c>
      <c r="M1" s="15">
        <v>42887</v>
      </c>
      <c r="N1" s="15">
        <v>42917</v>
      </c>
      <c r="O1" s="15">
        <v>42948</v>
      </c>
      <c r="P1" s="15">
        <v>42979</v>
      </c>
      <c r="Q1" s="15">
        <v>43009</v>
      </c>
      <c r="R1" s="15">
        <v>43040</v>
      </c>
      <c r="S1" s="15">
        <v>43070</v>
      </c>
      <c r="T1" s="15">
        <v>43101</v>
      </c>
      <c r="U1" s="15">
        <v>43132</v>
      </c>
      <c r="V1" s="15">
        <v>43160</v>
      </c>
      <c r="W1" s="15">
        <v>43191</v>
      </c>
      <c r="X1" s="15">
        <v>43221</v>
      </c>
      <c r="Y1" s="15">
        <v>43252</v>
      </c>
      <c r="Z1" s="15">
        <v>43282</v>
      </c>
      <c r="AA1" s="15">
        <v>43313</v>
      </c>
      <c r="AB1" s="15">
        <v>43344</v>
      </c>
      <c r="AC1" s="15">
        <v>43374</v>
      </c>
      <c r="AD1" s="15">
        <v>43405</v>
      </c>
      <c r="AE1" s="15">
        <v>43435</v>
      </c>
      <c r="AF1" s="21"/>
      <c r="AG1" s="21">
        <v>42736</v>
      </c>
      <c r="AH1" s="21">
        <v>42767</v>
      </c>
      <c r="AI1" s="21">
        <v>42795</v>
      </c>
      <c r="AJ1" s="21">
        <v>42826</v>
      </c>
      <c r="AK1" s="21">
        <v>42856</v>
      </c>
      <c r="AL1" s="21">
        <v>42887</v>
      </c>
      <c r="AM1" s="21">
        <v>42917</v>
      </c>
      <c r="AN1" s="21">
        <v>42948</v>
      </c>
      <c r="AO1" s="21">
        <v>42979</v>
      </c>
      <c r="AP1" s="21">
        <v>43009</v>
      </c>
      <c r="AQ1" s="21">
        <v>43040</v>
      </c>
      <c r="AR1" s="21">
        <v>43070</v>
      </c>
      <c r="AS1" s="21">
        <v>43101</v>
      </c>
      <c r="AT1" s="21">
        <v>43132</v>
      </c>
      <c r="AU1" s="21">
        <v>43160</v>
      </c>
      <c r="AV1" s="21">
        <v>43191</v>
      </c>
      <c r="AW1" s="21">
        <v>43221</v>
      </c>
      <c r="AX1" s="21">
        <v>43252</v>
      </c>
      <c r="AY1" s="21">
        <v>43282</v>
      </c>
      <c r="AZ1" s="21">
        <v>43313</v>
      </c>
      <c r="BA1" s="21">
        <v>43344</v>
      </c>
      <c r="BB1" s="21">
        <v>43374</v>
      </c>
      <c r="BC1" s="21">
        <v>43405</v>
      </c>
      <c r="BD1" s="21">
        <v>43435</v>
      </c>
    </row>
    <row r="2" spans="1:56" x14ac:dyDescent="0.3">
      <c r="B2" s="9"/>
      <c r="C2" s="10"/>
      <c r="D2" s="11"/>
      <c r="F2" s="15">
        <f>D2-E2*$A$4</f>
        <v>0</v>
      </c>
      <c r="H2">
        <f>IF(OR(AND(YEAR($F2)=YEAR(H$1),MONTH($F2)=MONTH(H$1),DAY($F2)&gt;$A$7),AND(YEAR($F2)=YEAR(H$1),MONTH($F2)=MONTH(H$1)+1,DAY($F2)&lt;$A$8),AND(MONTH($F2)=1,YEAR($F2)=YEAR(H$1)+1,DAY($F2)&lt;$A$8,MONTH(H$1)=12)),$C2,0)</f>
        <v>0</v>
      </c>
      <c r="I2">
        <f t="shared" ref="I2:AD2" si="0">IF(OR(AND(YEAR($F2)=YEAR(I$1),MONTH($F2)=MONTH(I$1),DAY($F2)&gt;$A$7),AND(YEAR($F2)=YEAR(I$1),MONTH($F2)=MONTH(I$1)+1,DAY($F2)&lt;$A$8),AND(MONTH($F2)=1,YEAR($F2)=YEAR(I$1)+1,DAY($F2)&lt;$A$8,MONTH(I$1)=12)),$C2,0)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ref="AE2" si="1">IF(OR(AND(YEAR($F2)=YEAR(AE$1),MONTH($F2)=MONTH(AE$1),DAY($F2)&gt;$A$7),AND(YEAR($F2)=YEAR(AE$1),MONTH($F2)+1=MONTH(AE$1),DAY($F2)&lt;$A$8),AND(MONTH($F2)=1,YEAR($F2)=YEAR(AE$1)+1,DAY($F2)&lt;$A$8,MONTH(AE$1)=12)),$C2,0)</f>
        <v>0</v>
      </c>
      <c r="AF2" s="14"/>
      <c r="AG2" s="21">
        <f t="shared" ref="AG2:BD2" si="2">SUMIF($B:$B,$AF:$AF,H:H)</f>
        <v>0</v>
      </c>
      <c r="AH2" s="21">
        <f t="shared" si="2"/>
        <v>0</v>
      </c>
      <c r="AI2" s="21">
        <f t="shared" si="2"/>
        <v>0</v>
      </c>
      <c r="AJ2" s="21">
        <f t="shared" si="2"/>
        <v>0</v>
      </c>
      <c r="AK2" s="21">
        <f t="shared" si="2"/>
        <v>0</v>
      </c>
      <c r="AL2" s="21">
        <f t="shared" si="2"/>
        <v>0</v>
      </c>
      <c r="AM2" s="21">
        <f t="shared" si="2"/>
        <v>0</v>
      </c>
      <c r="AN2" s="21">
        <f t="shared" si="2"/>
        <v>0</v>
      </c>
      <c r="AO2" s="21">
        <f t="shared" si="2"/>
        <v>0</v>
      </c>
      <c r="AP2" s="21">
        <f t="shared" si="2"/>
        <v>0</v>
      </c>
      <c r="AQ2" s="21">
        <f t="shared" si="2"/>
        <v>0</v>
      </c>
      <c r="AR2" s="21">
        <f t="shared" si="2"/>
        <v>0</v>
      </c>
      <c r="AS2" s="21">
        <f t="shared" si="2"/>
        <v>0</v>
      </c>
      <c r="AT2" s="21">
        <f t="shared" si="2"/>
        <v>0</v>
      </c>
      <c r="AU2" s="21">
        <f t="shared" si="2"/>
        <v>0</v>
      </c>
      <c r="AV2" s="21">
        <f t="shared" si="2"/>
        <v>0</v>
      </c>
      <c r="AW2" s="21">
        <f t="shared" si="2"/>
        <v>0</v>
      </c>
      <c r="AX2" s="21">
        <f t="shared" si="2"/>
        <v>0</v>
      </c>
      <c r="AY2" s="21">
        <f t="shared" si="2"/>
        <v>0</v>
      </c>
      <c r="AZ2" s="21">
        <f t="shared" si="2"/>
        <v>0</v>
      </c>
      <c r="BA2" s="21">
        <f t="shared" si="2"/>
        <v>0</v>
      </c>
      <c r="BB2" s="21">
        <f t="shared" si="2"/>
        <v>0</v>
      </c>
      <c r="BC2" s="21">
        <f t="shared" si="2"/>
        <v>0</v>
      </c>
      <c r="BD2" s="21">
        <f t="shared" si="2"/>
        <v>0</v>
      </c>
    </row>
    <row r="3" spans="1:56" ht="42.75" x14ac:dyDescent="0.3">
      <c r="A3" s="1" t="s">
        <v>0</v>
      </c>
      <c r="B3" s="9"/>
      <c r="C3" s="10"/>
      <c r="D3" s="11"/>
      <c r="F3" s="15"/>
      <c r="AF3" s="14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</row>
    <row r="4" spans="1:56" ht="14.25" x14ac:dyDescent="0.3">
      <c r="A4" s="2">
        <v>0.4</v>
      </c>
      <c r="B4" s="9"/>
      <c r="C4" s="10"/>
      <c r="D4" s="11"/>
      <c r="F4" s="15"/>
      <c r="AF4" s="14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</row>
    <row r="5" spans="1:56" ht="14.25" x14ac:dyDescent="0.3">
      <c r="A5" s="3"/>
      <c r="B5" s="9"/>
      <c r="C5" s="10"/>
      <c r="D5" s="11"/>
      <c r="F5" s="15"/>
      <c r="AF5" s="14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</row>
    <row r="6" spans="1:56" ht="46.5" x14ac:dyDescent="0.3">
      <c r="A6" s="4" t="s">
        <v>1</v>
      </c>
      <c r="B6" s="9"/>
      <c r="C6" s="10"/>
      <c r="D6" s="11"/>
      <c r="F6" s="15"/>
      <c r="AF6" s="14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</row>
    <row r="7" spans="1:56" x14ac:dyDescent="0.3">
      <c r="A7" s="5">
        <v>10</v>
      </c>
      <c r="B7" s="9"/>
      <c r="C7" s="10"/>
      <c r="D7" s="11"/>
      <c r="F7" s="15"/>
      <c r="AF7" s="14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</row>
    <row r="8" spans="1:56" x14ac:dyDescent="0.3">
      <c r="A8" s="5">
        <v>10</v>
      </c>
      <c r="B8" s="9"/>
      <c r="C8" s="10"/>
      <c r="D8" s="11"/>
      <c r="F8" s="15"/>
      <c r="AF8" s="14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</row>
  </sheetData>
  <autoFilter ref="F1:F2000"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T3"/>
  <sheetViews>
    <sheetView workbookViewId="0">
      <selection activeCell="B2" sqref="B2:Q900000"/>
    </sheetView>
  </sheetViews>
  <sheetFormatPr defaultRowHeight="13.5" x14ac:dyDescent="0.3"/>
  <cols>
    <col min="14" max="14" width="15.3984375" bestFit="1" customWidth="1"/>
    <col min="15" max="15" width="11.1328125" bestFit="1" customWidth="1"/>
    <col min="19" max="19" width="14.06640625" bestFit="1" customWidth="1"/>
    <col min="20" max="20" width="17.53125" customWidth="1"/>
  </cols>
  <sheetData>
    <row r="1" spans="2:20" ht="40.5" x14ac:dyDescent="0.3">
      <c r="B1" s="6" t="s">
        <v>64</v>
      </c>
      <c r="C1" s="6" t="s">
        <v>27</v>
      </c>
      <c r="D1" s="6" t="s">
        <v>3</v>
      </c>
      <c r="E1" s="6" t="s">
        <v>83</v>
      </c>
      <c r="F1" s="6" t="s">
        <v>84</v>
      </c>
      <c r="G1" s="6" t="s">
        <v>85</v>
      </c>
      <c r="H1" s="7" t="s">
        <v>86</v>
      </c>
      <c r="I1" s="6" t="s">
        <v>11</v>
      </c>
      <c r="J1" s="6" t="s">
        <v>67</v>
      </c>
      <c r="K1" s="7" t="s">
        <v>32</v>
      </c>
      <c r="L1" s="6" t="s">
        <v>87</v>
      </c>
      <c r="M1" s="6" t="s">
        <v>70</v>
      </c>
      <c r="N1" s="6" t="s">
        <v>88</v>
      </c>
      <c r="O1" s="6" t="s">
        <v>89</v>
      </c>
      <c r="P1" s="7" t="s">
        <v>90</v>
      </c>
      <c r="Q1" s="6" t="s">
        <v>70</v>
      </c>
      <c r="S1" s="13" t="s">
        <v>21</v>
      </c>
      <c r="T1" t="s">
        <v>82</v>
      </c>
    </row>
    <row r="2" spans="2:20" x14ac:dyDescent="0.3">
      <c r="B2" s="9"/>
      <c r="C2" s="9"/>
      <c r="D2" s="9"/>
      <c r="E2" s="9"/>
      <c r="F2" s="9"/>
      <c r="G2" s="9"/>
      <c r="H2" s="9"/>
      <c r="I2" s="9"/>
      <c r="J2" s="10"/>
      <c r="K2" s="9"/>
      <c r="L2" s="18"/>
      <c r="M2" s="9"/>
      <c r="N2" s="10"/>
      <c r="O2" s="9"/>
      <c r="P2" s="18"/>
      <c r="Q2" s="9"/>
      <c r="S2" s="14" t="s">
        <v>22</v>
      </c>
      <c r="T2" s="8"/>
    </row>
    <row r="3" spans="2:20" x14ac:dyDescent="0.3">
      <c r="B3" s="9"/>
      <c r="C3" s="9"/>
      <c r="D3" s="9"/>
      <c r="E3" s="9"/>
      <c r="F3" s="9"/>
      <c r="G3" s="9"/>
      <c r="H3" s="9"/>
      <c r="I3" s="9"/>
      <c r="J3" s="10"/>
      <c r="K3" s="9"/>
      <c r="L3" s="18"/>
      <c r="M3" s="9"/>
      <c r="N3" s="10"/>
      <c r="O3" s="9"/>
      <c r="P3" s="18"/>
      <c r="Q3" s="9"/>
      <c r="S3" s="14" t="s">
        <v>23</v>
      </c>
      <c r="T3" s="8"/>
    </row>
  </sheetData>
  <autoFilter ref="B1:Q592"/>
  <phoneticPr fontId="2" type="noConversion"/>
  <pageMargins left="0.7" right="0.7" top="0.75" bottom="0.75" header="0.3" footer="0.3"/>
  <pageSetup paperSize="9" orientation="portrait" horizontalDpi="4294967295" verticalDpi="4294967295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StockTransferUpdate">
                <anchor moveWithCells="1" siz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0</xdr:col>
                    <xdr:colOff>581025</xdr:colOff>
                    <xdr:row>0</xdr:row>
                    <xdr:rowOff>404813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tockTransferClean">
                <anchor moveWithCells="1" sizeWithCells="1">
                  <from>
                    <xdr:col>0</xdr:col>
                    <xdr:colOff>57150</xdr:colOff>
                    <xdr:row>1</xdr:row>
                    <xdr:rowOff>0</xdr:rowOff>
                  </from>
                  <to>
                    <xdr:col>0</xdr:col>
                    <xdr:colOff>561975</xdr:colOff>
                    <xdr:row>1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Forecast</vt:lpstr>
      <vt:lpstr>Sales</vt:lpstr>
      <vt:lpstr>Open PO</vt:lpstr>
      <vt:lpstr>Open PO Data</vt:lpstr>
      <vt:lpstr>Stock</vt:lpstr>
      <vt:lpstr>Last Date</vt:lpstr>
      <vt:lpstr>Stock Transfer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Passebecq  Ghanty</dc:creator>
  <cp:lastModifiedBy>Julian Passebecq  Ghanty</cp:lastModifiedBy>
  <dcterms:created xsi:type="dcterms:W3CDTF">2017-09-13T04:01:06Z</dcterms:created>
  <dcterms:modified xsi:type="dcterms:W3CDTF">2017-09-25T08:04:57Z</dcterms:modified>
</cp:coreProperties>
</file>